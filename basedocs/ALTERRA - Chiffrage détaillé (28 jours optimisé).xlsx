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Détail" sheetId="2" state="visible" r:id="rId4"/>
    <sheet name="Hypothèses" sheetId="3" state="visible" r:id="rId5"/>
    <sheet name="Licen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<sst xmlns="http://schemas.openxmlformats.org/spreadsheetml/2006/main" count="227" uniqueCount="215">
  <si>
    <t xml:space="preserve">Chiffrage détaillé — Plateforme ALTERRA</t>
  </si>
  <si>
    <t xml:space="preserve">Mise en place système de gestion des travailleurs temporaires — Airtable + Jotform</t>
  </si>
  <si>
    <t xml:space="preserve">Version</t>
  </si>
  <si>
    <t xml:space="preserve">v1 — chiffrage optimisé</t>
  </si>
  <si>
    <t xml:space="preserve">Date</t>
  </si>
  <si>
    <t xml:space="preserve">28 avril 2026</t>
  </si>
  <si>
    <t xml:space="preserve">Périmètre</t>
  </si>
  <si>
    <t xml:space="preserve">Pilote 1 site, ~50 travailleurs, 3-5 utilisateurs Admin/Chef de Site</t>
  </si>
  <si>
    <t xml:space="preserve">Hypothèse de calcul</t>
  </si>
  <si>
    <t xml:space="preserve">TJM (Taux Journalier Moyen)</t>
  </si>
  <si>
    <t xml:space="preserve">à renseigner</t>
  </si>
  <si>
    <t xml:space="preserve">Synthèse par phase</t>
  </si>
  <si>
    <t xml:space="preserve">Phase</t>
  </si>
  <si>
    <t xml:space="preserve">Jours-homme</t>
  </si>
  <si>
    <t xml:space="preserve">% du total</t>
  </si>
  <si>
    <t xml:space="preserve">Coût (TJM × j-h)</t>
  </si>
  <si>
    <t xml:space="preserve">1. Cadrage et conception</t>
  </si>
  <si>
    <t xml:space="preserve">2. Configuration Airtable</t>
  </si>
  <si>
    <t xml:space="preserve">3. Jotform et intégration</t>
  </si>
  <si>
    <t xml:space="preserve">4. Données initiales et comptes utilisateurs</t>
  </si>
  <si>
    <t xml:space="preserve">5. Tests et recette</t>
  </si>
  <si>
    <t xml:space="preserve">6. Formation et déploiement</t>
  </si>
  <si>
    <t xml:space="preserve">7. Hypercare</t>
  </si>
  <si>
    <t xml:space="preserve">TOTAL</t>
  </si>
  <si>
    <t xml:space="preserve">Le détail tâche par tâche est disponible dans l'onglet « Détail ». Hypothèses, périmètre et exclusions dans l'onglet « Hypothèses ». Coûts récurrents Airtable et Jotform dans l'onglet « Licences ».</t>
  </si>
  <si>
    <t xml:space="preserve">Comparatif vs proposition initiale NextA</t>
  </si>
  <si>
    <t xml:space="preserve">Élément</t>
  </si>
  <si>
    <t xml:space="preserve">NextA initial</t>
  </si>
  <si>
    <t xml:space="preserve">Optimisé</t>
  </si>
  <si>
    <t xml:space="preserve">Écart</t>
  </si>
  <si>
    <t xml:space="preserve">Total jours-homme</t>
  </si>
  <si>
    <t xml:space="preserve">24 j</t>
  </si>
  <si>
    <t xml:space="preserve">28 j</t>
  </si>
  <si>
    <t xml:space="preserve">+4 j</t>
  </si>
  <si>
    <t xml:space="preserve">Conception</t>
  </si>
  <si>
    <t xml:space="preserve">5 j</t>
  </si>
  <si>
    <t xml:space="preserve">4 j</t>
  </si>
  <si>
    <t xml:space="preserve">-1 j</t>
  </si>
  <si>
    <t xml:space="preserve">Développement / Configuration</t>
  </si>
  <si>
    <t xml:space="preserve">10 j</t>
  </si>
  <si>
    <t xml:space="preserve">12 j</t>
  </si>
  <si>
    <t xml:space="preserve">+2 j</t>
  </si>
  <si>
    <t xml:space="preserve">Tests et formation</t>
  </si>
  <si>
    <t xml:space="preserve">=</t>
  </si>
  <si>
    <t xml:space="preserve">Données initiales et comptes</t>
  </si>
  <si>
    <t xml:space="preserve">0 j (non couvert)</t>
  </si>
  <si>
    <t xml:space="preserve">2 j</t>
  </si>
  <si>
    <t xml:space="preserve">Formation et déploiement</t>
  </si>
  <si>
    <t xml:space="preserve">5 j (combiné avec support)</t>
  </si>
  <si>
    <t xml:space="preserve">3 j</t>
  </si>
  <si>
    <t xml:space="preserve">ajusté</t>
  </si>
  <si>
    <t xml:space="preserve">Hypercare post-déploiement</t>
  </si>
  <si>
    <t xml:space="preserve">inclus dans 5 j</t>
  </si>
  <si>
    <t xml:space="preserve">3 j sur 2 sem.</t>
  </si>
  <si>
    <t xml:space="preserve">explicité</t>
  </si>
  <si>
    <t xml:space="preserve">Détail des tâches par phase</t>
  </si>
  <si>
    <t xml:space="preserve">Le coût se met à jour automatiquement quand le TJM est saisi dans l'onglet Synthèse (cellule C10).</t>
  </si>
  <si>
    <t xml:space="preserve">Réf</t>
  </si>
  <si>
    <t xml:space="preserve">Tâche</t>
  </si>
  <si>
    <t xml:space="preserve">Coût</t>
  </si>
  <si>
    <t xml:space="preserve">1.1</t>
  </si>
  <si>
    <t xml:space="preserve">Atelier métier ALTERRA (processus, règles, cas particuliers)</t>
  </si>
  <si>
    <t xml:space="preserve">1.2</t>
  </si>
  <si>
    <t xml:space="preserve">Modélisation des données et règles de gestion</t>
  </si>
  <si>
    <t xml:space="preserve">1.3</t>
  </si>
  <si>
    <t xml:space="preserve">Architecture technique et plan de tests</t>
  </si>
  <si>
    <t xml:space="preserve">1.4</t>
  </si>
  <si>
    <t xml:space="preserve">Maquettes Airtable Interfaces (Admin, Chef de Site)</t>
  </si>
  <si>
    <t xml:space="preserve">2.1</t>
  </si>
  <si>
    <t xml:space="preserve">Création des 4 tables, champs typés, formules</t>
  </si>
  <si>
    <t xml:space="preserve">2.2</t>
  </si>
  <si>
    <t xml:space="preserve">Vues métier (par site, par semaine, statuts) et permissions par rôle</t>
  </si>
  <si>
    <t xml:space="preserve">2.3</t>
  </si>
  <si>
    <t xml:space="preserve">Airtable Interface Admin (back-office complet)</t>
  </si>
  <si>
    <t xml:space="preserve">2.4</t>
  </si>
  <si>
    <t xml:space="preserve">Airtable Interface Chef de Site (validation pointages)</t>
  </si>
  <si>
    <t xml:space="preserve">2.5</t>
  </si>
  <si>
    <t xml:space="preserve">Automatisations (notifications, mises à jour de statut, alertes)</t>
  </si>
  <si>
    <t xml:space="preserve">2.6</t>
  </si>
  <si>
    <t xml:space="preserve">Tableaux de bord (vues filtrées et Interface dashboard)</t>
  </si>
  <si>
    <t xml:space="preserve">3.1</t>
  </si>
  <si>
    <t xml:space="preserve">Formulaires Jotform : pointage et activités</t>
  </si>
  <si>
    <t xml:space="preserve">3.2</t>
  </si>
  <si>
    <t xml:space="preserve">Logique conditionnelle, géolocalisation et photo obligatoire</t>
  </si>
  <si>
    <t xml:space="preserve">3.3</t>
  </si>
  <si>
    <t xml:space="preserve">Intégration Jotform → Airtable (mapping et webhook)</t>
  </si>
  <si>
    <t xml:space="preserve">3.4</t>
  </si>
  <si>
    <t xml:space="preserve">Listes synchronisées dynamiquement (travailleurs, sites)</t>
  </si>
  <si>
    <t xml:space="preserve">3.5</t>
  </si>
  <si>
    <t xml:space="preserve">Tests du mode offline et de la synchronisation</t>
  </si>
  <si>
    <t xml:space="preserve">4.1</t>
  </si>
  <si>
    <t xml:space="preserve">Import des données existantes (travailleurs, sites, contrats)</t>
  </si>
  <si>
    <t xml:space="preserve">4.2</t>
  </si>
  <si>
    <t xml:space="preserve">Création des comptes utilisateurs et invitations</t>
  </si>
  <si>
    <t xml:space="preserve">4.3</t>
  </si>
  <si>
    <t xml:space="preserve">Configuration finale et durcissement des permissions</t>
  </si>
  <si>
    <t xml:space="preserve">5.1</t>
  </si>
  <si>
    <t xml:space="preserve">Tests bout en bout par rôle (Admin, Chef de Site, Agent)</t>
  </si>
  <si>
    <t xml:space="preserve">5.2</t>
  </si>
  <si>
    <t xml:space="preserve">Test offline réel sur 1 site pilote (hors bureau)</t>
  </si>
  <si>
    <t xml:space="preserve">5.3</t>
  </si>
  <si>
    <t xml:space="preserve">Recette ALTERRA et corrections</t>
  </si>
  <si>
    <t xml:space="preserve">6.1</t>
  </si>
  <si>
    <t xml:space="preserve">Formation des Administrateurs et Chefs de Site</t>
  </si>
  <si>
    <t xml:space="preserve">6.2</t>
  </si>
  <si>
    <t xml:space="preserve">Formation des Agents Terrain (1 site pilote)</t>
  </si>
  <si>
    <t xml:space="preserve">6.3</t>
  </si>
  <si>
    <t xml:space="preserve">Mise en production et documentation utilisateur</t>
  </si>
  <si>
    <t xml:space="preserve">7.1</t>
  </si>
  <si>
    <t xml:space="preserve">Support et corrections en hypercare (sur 2 semaines)</t>
  </si>
  <si>
    <t xml:space="preserve">TOTAL GÉNÉRAL</t>
  </si>
  <si>
    <t xml:space="preserve">Légende couleurs</t>
  </si>
  <si>
    <t xml:space="preserve">Bleu</t>
  </si>
  <si>
    <t xml:space="preserve">Saisie modifiable (j-h, TJM)</t>
  </si>
  <si>
    <t xml:space="preserve">Noir</t>
  </si>
  <si>
    <t xml:space="preserve">Formule de calcul</t>
  </si>
  <si>
    <t xml:space="preserve">Vert</t>
  </si>
  <si>
    <t xml:space="preserve">Lien vers un autre onglet</t>
  </si>
  <si>
    <t xml:space="preserve">Fond jaune</t>
  </si>
  <si>
    <t xml:space="preserve">Hypothèse à renseigner</t>
  </si>
  <si>
    <t xml:space="preserve">Hypothèses, périmètre et conditions</t>
  </si>
  <si>
    <t xml:space="preserve">PÉRIMÈTRE</t>
  </si>
  <si>
    <t xml:space="preserve">Sites</t>
  </si>
  <si>
    <t xml:space="preserve">1 site pilote (extension à d'autres sites = devis additionnel)</t>
  </si>
  <si>
    <t xml:space="preserve">Travailleurs</t>
  </si>
  <si>
    <t xml:space="preserve">Jusqu'à 50 travailleurs actifs au démarrage</t>
  </si>
  <si>
    <t xml:space="preserve">Utilisateurs Airtable</t>
  </si>
  <si>
    <t xml:space="preserve">1 Administrateur + 2 à 4 Chefs de Site</t>
  </si>
  <si>
    <t xml:space="preserve">Formulaires Jotform</t>
  </si>
  <si>
    <t xml:space="preserve">1 formulaire de pointage + 1 formulaire d'enregistrement travailleur (à confirmer en atelier)</t>
  </si>
  <si>
    <t xml:space="preserve">Langues</t>
  </si>
  <si>
    <t xml:space="preserve">Interface en français ; libellés courts en malagasy possibles</t>
  </si>
  <si>
    <t xml:space="preserve">HYPOTHÈSES TECHNIQUES</t>
  </si>
  <si>
    <t xml:space="preserve">Stack</t>
  </si>
  <si>
    <t xml:space="preserve">Airtable (Team) + Jotform Mobile Forms</t>
  </si>
  <si>
    <t xml:space="preserve">Authentification Agents</t>
  </si>
  <si>
    <t xml:space="preserve">Saisie déclarative via dropdown synchronisée avec Airtable (pas de compte individuel)</t>
  </si>
  <si>
    <t xml:space="preserve">Anti-fraude</t>
  </si>
  <si>
    <t xml:space="preserve">Photo obligatoire + géolocalisation à chaque pointage</t>
  </si>
  <si>
    <t xml:space="preserve">Mode hors ligne</t>
  </si>
  <si>
    <t xml:space="preserve">Jotform Mobile App côté Agent ; Chef de Site en mode connecté ou validation différée</t>
  </si>
  <si>
    <t xml:space="preserve">Hébergement</t>
  </si>
  <si>
    <t xml:space="preserve">Airtable (US/EU selon plan) ; Jotform (US par défaut)</t>
  </si>
  <si>
    <t xml:space="preserve">INCLUS DANS LE CHIFFRAGE</t>
  </si>
  <si>
    <t xml:space="preserve">Cadrage</t>
  </si>
  <si>
    <t xml:space="preserve">Atelier métier, modélisation, maquettes Interface</t>
  </si>
  <si>
    <t xml:space="preserve">Configuration</t>
  </si>
  <si>
    <t xml:space="preserve">Tables, vues, permissions, automatisations, Interfaces, dashboards</t>
  </si>
  <si>
    <t xml:space="preserve">Intégration</t>
  </si>
  <si>
    <t xml:space="preserve">Jotform → Airtable, listes synchronisées, tests offline</t>
  </si>
  <si>
    <t xml:space="preserve">Migration</t>
  </si>
  <si>
    <t xml:space="preserve">Import des données existantes (1 jeu de données fourni au format CSV/Excel propre)</t>
  </si>
  <si>
    <t xml:space="preserve">Recette</t>
  </si>
  <si>
    <t xml:space="preserve">Tests bout en bout + 1 itération de corrections</t>
  </si>
  <si>
    <t xml:space="preserve">Formation</t>
  </si>
  <si>
    <t xml:space="preserve">Admin/Chef de Site (1 j) + Agents 1 site (1 j)</t>
  </si>
  <si>
    <t xml:space="preserve">Hypercare</t>
  </si>
  <si>
    <t xml:space="preserve">3 j de support post-mise en production sur 2 semaines</t>
  </si>
  <si>
    <t xml:space="preserve">NON INCLUS</t>
  </si>
  <si>
    <t xml:space="preserve">Licences</t>
  </si>
  <si>
    <t xml:space="preserve">Abonnements Airtable et Jotform à la charge d'ALTERRA (cf. onglet Licences)</t>
  </si>
  <si>
    <t xml:space="preserve">Données</t>
  </si>
  <si>
    <t xml:space="preserve">Nettoyage de fichiers de données mal structurés</t>
  </si>
  <si>
    <t xml:space="preserve">Multi-sites</t>
  </si>
  <si>
    <t xml:space="preserve">Déploiement au-delà du site pilote (ajouter ~3 j par site supplémentaire)</t>
  </si>
  <si>
    <t xml:space="preserve">Évolutions</t>
  </si>
  <si>
    <t xml:space="preserve">Évolutions fonctionnelles post-recette (chiffrées en sus)</t>
  </si>
  <si>
    <t xml:space="preserve">Support long terme</t>
  </si>
  <si>
    <t xml:space="preserve">Maintenance évolutive après l'hypercare (forfait mensuel à proposer séparément)</t>
  </si>
  <si>
    <t xml:space="preserve">Matériel</t>
  </si>
  <si>
    <t xml:space="preserve">Téléphones / tablettes des Agents et Chefs de Site</t>
  </si>
  <si>
    <t xml:space="preserve">Connectivité</t>
  </si>
  <si>
    <t xml:space="preserve">Forfaits data / Wi-Fi pour le déploiement</t>
  </si>
  <si>
    <t xml:space="preserve">CONDITIONS DE RÉUSSITE</t>
  </si>
  <si>
    <t xml:space="preserve">Disponibilité ALTERRA</t>
  </si>
  <si>
    <t xml:space="preserve">Référent métier disponible 0,5 j/sem pendant le projet</t>
  </si>
  <si>
    <t xml:space="preserve">Données initiales</t>
  </si>
  <si>
    <t xml:space="preserve">Liste des travailleurs et sites fournie au format Excel propre en début de phase 4</t>
  </si>
  <si>
    <t xml:space="preserve">Validation</t>
  </si>
  <si>
    <t xml:space="preserve">Recette en moins de 3 jours après livraison phase 5</t>
  </si>
  <si>
    <t xml:space="preserve">RISQUES IDENTIFIÉS</t>
  </si>
  <si>
    <t xml:space="preserve">Mode offline Chef de Site</t>
  </si>
  <si>
    <t xml:space="preserve">Si validation hors ligne strictement requise, prévoir +2 j (workaround)</t>
  </si>
  <si>
    <t xml:space="preserve">Comptes Jotform individuels</t>
  </si>
  <si>
    <t xml:space="preserve">Si auth nominative requise pour les Agents, prévoir +1 à 2 j et coût licences</t>
  </si>
  <si>
    <t xml:space="preserve">Multi-formulaires</t>
  </si>
  <si>
    <t xml:space="preserve">Si plus de 2 formulaires Jotform requis, ajouter 0,5 à 1 j par formulaire</t>
  </si>
  <si>
    <t xml:space="preserve">Licences récurrentes — estimation</t>
  </si>
  <si>
    <t xml:space="preserve">Tarifs publics constatés en avril 2026, à confirmer auprès des éditeurs. Hors taxes locales.</t>
  </si>
  <si>
    <t xml:space="preserve">Outil</t>
  </si>
  <si>
    <t xml:space="preserve">Plan</t>
  </si>
  <si>
    <t xml:space="preserve">Nb licences</t>
  </si>
  <si>
    <t xml:space="preserve">Prix unitaire (USD/mois)</t>
  </si>
  <si>
    <t xml:space="preserve">Coût mensuel (USD)</t>
  </si>
  <si>
    <t xml:space="preserve">Coût annuel (USD)</t>
  </si>
  <si>
    <t xml:space="preserve">Airtable</t>
  </si>
  <si>
    <t xml:space="preserve">Team (recommandé)</t>
  </si>
  <si>
    <t xml:space="preserve">Jotform</t>
  </si>
  <si>
    <t xml:space="preserve">Bronze ou Silver</t>
  </si>
  <si>
    <t xml:space="preserve">Make (option)</t>
  </si>
  <si>
    <t xml:space="preserve">Core</t>
  </si>
  <si>
    <t xml:space="preserve">Total</t>
  </si>
  <si>
    <t xml:space="preserve">(option Make incluse)</t>
  </si>
  <si>
    <t xml:space="preserve">Notes détaillées par outil</t>
  </si>
  <si>
    <t xml:space="preserve">Airtable Team</t>
  </si>
  <si>
    <t xml:space="preserve">24 USD/utilisateur/mois facturé annuellement (29 USD en mensuel). Inclut : 50 000 records par base, 100 GB de pièces jointes, 25 000 automatisations/mois, Interfaces, permissions par rôle. Suffit pour un démarrage avec 1 site et ~50 travailleurs.</t>
  </si>
  <si>
    <t xml:space="preserve">Airtable — passage Business</t>
  </si>
  <si>
    <t xml:space="preserve">À envisager au-delà de 50 000 records cumulés (pointages × travailleurs × jours). À ~20 pointages/travailleur/mois × 50 travailleurs × 12 mois = 12 000 records/an : large marge en Team pendant 3 ans.</t>
  </si>
  <si>
    <t xml:space="preserve">Jotform Bronze (39 USD/mois)</t>
  </si>
  <si>
    <t xml:space="preserve">100 soumissions/mois, 100 MB stockage, suffit pour un test. Pour prod réelle, prévoir Silver (49 USD/mois) ou Gold (129 USD/mois) selon volume de pointages.</t>
  </si>
  <si>
    <t xml:space="preserve">Jotform Mobile Forms</t>
  </si>
  <si>
    <t xml:space="preserve">Inclus dans tous les plans payants, supporte le mode hors ligne sur Android.</t>
  </si>
  <si>
    <t xml:space="preserve">Comptes Agents Jotform</t>
  </si>
  <si>
    <t xml:space="preserve">Non inclus : si authentification individuelle des Agents souhaitée, chaque Agent compte comme un seat → multiplier le coût Jotform par le nombre d'Agents.</t>
  </si>
  <si>
    <t xml:space="preserve">Plan Core à 9 USD/mois, 10 000 opérations/mois. Optionnel : à activer seulement si besoin d'automatisations dépassant les capacités d'Airtable Automations.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</si>
</sst>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&quot; j&quot;"/>
    <numFmt numFmtId="167" formatCode="0.0%"/>
    <numFmt numFmtId="168" formatCode="#,##0;[RED]\-#,##0;\-"/>
    <numFmt numFmtId="169" formatCode="\$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70C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sz val="11"/>
      <color rgb="FF0070C0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1F1F1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F2F2"/>
        <bgColor rgb="FFFDF4D6"/>
      </patternFill>
    </fill>
    <fill>
      <patternFill patternType="solid">
        <fgColor rgb="FFFFFF00"/>
        <bgColor rgb="FFFFFF00"/>
      </patternFill>
    </fill>
    <fill>
      <patternFill patternType="solid">
        <fgColor rgb="FFFDF4D6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A5F"/>
      </top>
      <bottom style="medium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8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4D6"/>
      <rgbColor rgb="FFF2F2F2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9" customFormat="false" ht="21.75" hidden="false" customHeight="true" outlineLevel="0" collapsed="false">
      <c r="B9" s="5" t="s">
        <v>8</v>
      </c>
      <c r="C9" s="5"/>
      <c r="D9" s="5"/>
      <c r="E9" s="5"/>
    </row>
    <row r="10" customFormat="false" ht="15" hidden="false" customHeight="false" outlineLevel="0" collapsed="false">
      <c r="B10" s="6" t="s">
        <v>9</v>
      </c>
      <c r="C10" s="7" t="n">
        <v>0</v>
      </c>
      <c r="D10" s="7"/>
      <c r="E10" s="8" t="s">
        <v>10</v>
      </c>
    </row>
    <row r="12" customFormat="false" ht="21.75" hidden="false" customHeight="true" outlineLevel="0" collapsed="false">
      <c r="B12" s="5" t="s">
        <v>11</v>
      </c>
      <c r="C12" s="5"/>
      <c r="D12" s="5"/>
      <c r="E12" s="5"/>
    </row>
    <row r="13" customFormat="false" ht="30" hidden="false" customHeight="true" outlineLevel="0" collapsed="false">
      <c r="B13" s="9" t="s">
        <v>12</v>
      </c>
      <c r="C13" s="9" t="s">
        <v>13</v>
      </c>
      <c r="D13" s="9" t="s">
        <v>14</v>
      </c>
      <c r="E13" s="9" t="s">
        <v>15</v>
      </c>
    </row>
    <row r="14" customFormat="false" ht="15" hidden="false" customHeight="false" outlineLevel="0" collapsed="false">
      <c r="B14" s="10" t="s">
        <v>16</v>
      </c>
      <c r="C14" s="11" t="n">
        <v>4</v>
      </c>
      <c r="D14" s="12" t="n">
        <f aca="false">C14/$C$21</f>
        <v>0.142857142857143</v>
      </c>
      <c r="E14" s="13" t="n">
        <f aca="false">C14*$C$10</f>
        <v>0</v>
      </c>
    </row>
    <row r="15" customFormat="false" ht="15" hidden="false" customHeight="false" outlineLevel="0" collapsed="false">
      <c r="B15" s="10" t="s">
        <v>17</v>
      </c>
      <c r="C15" s="11" t="n">
        <v>7</v>
      </c>
      <c r="D15" s="12" t="n">
        <f aca="false">C15/$C$21</f>
        <v>0.25</v>
      </c>
      <c r="E15" s="13" t="n">
        <f aca="false">C15*$C$10</f>
        <v>0</v>
      </c>
    </row>
    <row r="16" customFormat="false" ht="15" hidden="false" customHeight="false" outlineLevel="0" collapsed="false">
      <c r="B16" s="10" t="s">
        <v>18</v>
      </c>
      <c r="C16" s="11" t="n">
        <v>5</v>
      </c>
      <c r="D16" s="12" t="n">
        <f aca="false">C16/$C$21</f>
        <v>0.178571428571429</v>
      </c>
      <c r="E16" s="13" t="n">
        <f aca="false">C16*$C$10</f>
        <v>0</v>
      </c>
    </row>
    <row r="17" customFormat="false" ht="26.85" hidden="false" customHeight="false" outlineLevel="0" collapsed="false">
      <c r="B17" s="10" t="s">
        <v>19</v>
      </c>
      <c r="C17" s="11" t="n">
        <v>2</v>
      </c>
      <c r="D17" s="12" t="n">
        <f aca="false">C17/$C$21</f>
        <v>0.0714285714285714</v>
      </c>
      <c r="E17" s="13" t="n">
        <f aca="false">C17*$C$10</f>
        <v>0</v>
      </c>
    </row>
    <row r="18" customFormat="false" ht="15" hidden="false" customHeight="false" outlineLevel="0" collapsed="false">
      <c r="B18" s="10" t="s">
        <v>20</v>
      </c>
      <c r="C18" s="11" t="n">
        <v>4</v>
      </c>
      <c r="D18" s="12" t="n">
        <f aca="false">C18/$C$21</f>
        <v>0.142857142857143</v>
      </c>
      <c r="E18" s="13" t="n">
        <f aca="false">C18*$C$10</f>
        <v>0</v>
      </c>
    </row>
    <row r="19" customFormat="false" ht="15" hidden="false" customHeight="false" outlineLevel="0" collapsed="false">
      <c r="B19" s="10" t="s">
        <v>21</v>
      </c>
      <c r="C19" s="11" t="n">
        <v>3</v>
      </c>
      <c r="D19" s="12" t="n">
        <f aca="false">C19/$C$21</f>
        <v>0.107142857142857</v>
      </c>
      <c r="E19" s="13" t="n">
        <f aca="false">C19*$C$10</f>
        <v>0</v>
      </c>
    </row>
    <row r="20" customFormat="false" ht="15" hidden="false" customHeight="false" outlineLevel="0" collapsed="false">
      <c r="B20" s="10" t="s">
        <v>22</v>
      </c>
      <c r="C20" s="11" t="n">
        <v>3</v>
      </c>
      <c r="D20" s="12" t="n">
        <f aca="false">C20/$C$21</f>
        <v>0.107142857142857</v>
      </c>
      <c r="E20" s="13" t="n">
        <f aca="false">C20*$C$10</f>
        <v>0</v>
      </c>
    </row>
    <row r="21" customFormat="false" ht="15" hidden="false" customHeight="false" outlineLevel="0" collapsed="false">
      <c r="B21" s="14" t="s">
        <v>23</v>
      </c>
      <c r="C21" s="15" t="n">
        <f aca="false">SUM(C14:C20)</f>
        <v>28</v>
      </c>
      <c r="D21" s="16" t="n">
        <f aca="false">SUM(D14:D20)</f>
        <v>1</v>
      </c>
      <c r="E21" s="17" t="n">
        <f aca="false">C21*C10</f>
        <v>0</v>
      </c>
    </row>
    <row r="23" customFormat="false" ht="27.75" hidden="false" customHeight="true" outlineLevel="0" collapsed="false">
      <c r="B23" s="18" t="s">
        <v>24</v>
      </c>
      <c r="C23" s="18"/>
      <c r="D23" s="18"/>
      <c r="E23" s="18"/>
    </row>
    <row r="25" customFormat="false" ht="21.75" hidden="false" customHeight="true" outlineLevel="0" collapsed="false">
      <c r="B25" s="5" t="s">
        <v>25</v>
      </c>
      <c r="C25" s="5"/>
      <c r="D25" s="5"/>
      <c r="E25" s="5"/>
    </row>
    <row r="26" customFormat="false" ht="21.75" hidden="false" customHeight="true" outlineLevel="0" collapsed="false">
      <c r="B26" s="9" t="s">
        <v>26</v>
      </c>
      <c r="C26" s="9" t="s">
        <v>27</v>
      </c>
      <c r="D26" s="9" t="s">
        <v>28</v>
      </c>
      <c r="E26" s="9" t="s">
        <v>29</v>
      </c>
    </row>
    <row r="27" customFormat="false" ht="15" hidden="false" customHeight="false" outlineLevel="0" collapsed="false">
      <c r="B27" s="19" t="s">
        <v>30</v>
      </c>
      <c r="C27" s="20" t="s">
        <v>31</v>
      </c>
      <c r="D27" s="21" t="s">
        <v>32</v>
      </c>
      <c r="E27" s="22" t="s">
        <v>33</v>
      </c>
    </row>
    <row r="28" customFormat="false" ht="15" hidden="false" customHeight="false" outlineLevel="0" collapsed="false">
      <c r="B28" s="19" t="s">
        <v>34</v>
      </c>
      <c r="C28" s="20" t="s">
        <v>35</v>
      </c>
      <c r="D28" s="21" t="s">
        <v>36</v>
      </c>
      <c r="E28" s="22" t="s">
        <v>37</v>
      </c>
    </row>
    <row r="29" customFormat="false" ht="15" hidden="false" customHeight="false" outlineLevel="0" collapsed="false">
      <c r="B29" s="19" t="s">
        <v>38</v>
      </c>
      <c r="C29" s="20" t="s">
        <v>39</v>
      </c>
      <c r="D29" s="21" t="s">
        <v>40</v>
      </c>
      <c r="E29" s="22" t="s">
        <v>41</v>
      </c>
    </row>
    <row r="30" customFormat="false" ht="15" hidden="false" customHeight="false" outlineLevel="0" collapsed="false">
      <c r="B30" s="19" t="s">
        <v>42</v>
      </c>
      <c r="C30" s="20" t="s">
        <v>36</v>
      </c>
      <c r="D30" s="21" t="s">
        <v>36</v>
      </c>
      <c r="E30" s="22" t="s">
        <v>43</v>
      </c>
    </row>
    <row r="31" customFormat="false" ht="26.85" hidden="false" customHeight="false" outlineLevel="0" collapsed="false">
      <c r="B31" s="19" t="s">
        <v>44</v>
      </c>
      <c r="C31" s="20" t="s">
        <v>45</v>
      </c>
      <c r="D31" s="21" t="s">
        <v>46</v>
      </c>
      <c r="E31" s="22" t="s">
        <v>41</v>
      </c>
    </row>
    <row r="32" customFormat="false" ht="39.55" hidden="false" customHeight="false" outlineLevel="0" collapsed="false">
      <c r="B32" s="19" t="s">
        <v>47</v>
      </c>
      <c r="C32" s="20" t="s">
        <v>48</v>
      </c>
      <c r="D32" s="21" t="s">
        <v>49</v>
      </c>
      <c r="E32" s="22" t="s">
        <v>50</v>
      </c>
    </row>
    <row r="33" customFormat="false" ht="26.85" hidden="false" customHeight="false" outlineLevel="0" collapsed="false">
      <c r="B33" s="19" t="s">
        <v>51</v>
      </c>
      <c r="C33" s="20" t="s">
        <v>52</v>
      </c>
      <c r="D33" s="21" t="s">
        <v>53</v>
      </c>
      <c r="E33" s="22" t="s">
        <v>54</v>
      </c>
    </row>
  </sheetData>
  <mergeCells count="7">
    <mergeCell ref="B2:E2"/>
    <mergeCell ref="B3:E3"/>
    <mergeCell ref="B9:E9"/>
    <mergeCell ref="C10:D10"/>
    <mergeCell ref="B12:E12"/>
    <mergeCell ref="B23:E23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"/>
  </cols>
  <sheetData>
    <row r="2" customFormat="false" ht="24" hidden="false" customHeight="true" outlineLevel="0" collapsed="false">
      <c r="B2" s="23" t="s">
        <v>55</v>
      </c>
      <c r="C2" s="23"/>
      <c r="D2" s="23"/>
      <c r="E2" s="23"/>
    </row>
    <row r="3" customFormat="false" ht="15" hidden="false" customHeight="false" outlineLevel="0" collapsed="false">
      <c r="B3" s="24" t="s">
        <v>56</v>
      </c>
      <c r="C3" s="24"/>
      <c r="D3" s="24"/>
      <c r="E3" s="24"/>
    </row>
    <row r="5" customFormat="false" ht="27.75" hidden="false" customHeight="true" outlineLevel="0" collapsed="false">
      <c r="B5" s="9" t="s">
        <v>57</v>
      </c>
      <c r="C5" s="9" t="s">
        <v>58</v>
      </c>
      <c r="D5" s="9" t="s">
        <v>13</v>
      </c>
      <c r="E5" s="9" t="s">
        <v>59</v>
      </c>
    </row>
    <row r="6" customFormat="false" ht="15" hidden="false" customHeight="false" outlineLevel="0" collapsed="false">
      <c r="B6" s="25" t="s">
        <v>16</v>
      </c>
      <c r="C6" s="25"/>
      <c r="D6" s="26" t="n">
        <f aca="false">SUM(D7:D10)</f>
        <v>4</v>
      </c>
      <c r="E6" s="27" t="n">
        <f aca="false">D6*Synthèse!$C$10</f>
        <v>0</v>
      </c>
    </row>
    <row r="7" customFormat="false" ht="15" hidden="false" customHeight="false" outlineLevel="0" collapsed="false">
      <c r="B7" s="20" t="s">
        <v>60</v>
      </c>
      <c r="C7" s="19" t="s">
        <v>61</v>
      </c>
      <c r="D7" s="11" t="n">
        <v>1.5</v>
      </c>
      <c r="E7" s="28" t="n">
        <f aca="false">D7*Synthèse!$C$10</f>
        <v>0</v>
      </c>
    </row>
    <row r="8" customFormat="false" ht="15" hidden="false" customHeight="false" outlineLevel="0" collapsed="false">
      <c r="B8" s="20" t="s">
        <v>62</v>
      </c>
      <c r="C8" s="19" t="s">
        <v>63</v>
      </c>
      <c r="D8" s="11" t="n">
        <v>1</v>
      </c>
      <c r="E8" s="28" t="n">
        <f aca="false">D8*Synthèse!$C$10</f>
        <v>0</v>
      </c>
    </row>
    <row r="9" customFormat="false" ht="15" hidden="false" customHeight="false" outlineLevel="0" collapsed="false">
      <c r="B9" s="20" t="s">
        <v>64</v>
      </c>
      <c r="C9" s="19" t="s">
        <v>65</v>
      </c>
      <c r="D9" s="11" t="n">
        <v>0.5</v>
      </c>
      <c r="E9" s="28" t="n">
        <f aca="false">D9*Synthèse!$C$10</f>
        <v>0</v>
      </c>
    </row>
    <row r="10" customFormat="false" ht="15" hidden="false" customHeight="false" outlineLevel="0" collapsed="false">
      <c r="B10" s="20" t="s">
        <v>66</v>
      </c>
      <c r="C10" s="19" t="s">
        <v>67</v>
      </c>
      <c r="D10" s="11" t="n">
        <v>1</v>
      </c>
      <c r="E10" s="28" t="n">
        <f aca="false">D10*Synthèse!$C$10</f>
        <v>0</v>
      </c>
    </row>
    <row r="11" customFormat="false" ht="15" hidden="false" customHeight="false" outlineLevel="0" collapsed="false">
      <c r="B11" s="25" t="s">
        <v>17</v>
      </c>
      <c r="C11" s="25"/>
      <c r="D11" s="26" t="n">
        <f aca="false">SUM(D12:D17)</f>
        <v>7</v>
      </c>
      <c r="E11" s="27" t="n">
        <f aca="false">D11*Synthèse!$C$10</f>
        <v>0</v>
      </c>
    </row>
    <row r="12" customFormat="false" ht="15" hidden="false" customHeight="false" outlineLevel="0" collapsed="false">
      <c r="B12" s="20" t="s">
        <v>68</v>
      </c>
      <c r="C12" s="19" t="s">
        <v>69</v>
      </c>
      <c r="D12" s="11" t="n">
        <v>1.5</v>
      </c>
      <c r="E12" s="28" t="n">
        <f aca="false">D12*Synthèse!$C$10</f>
        <v>0</v>
      </c>
    </row>
    <row r="13" customFormat="false" ht="26.85" hidden="false" customHeight="false" outlineLevel="0" collapsed="false">
      <c r="B13" s="20" t="s">
        <v>70</v>
      </c>
      <c r="C13" s="19" t="s">
        <v>71</v>
      </c>
      <c r="D13" s="11" t="n">
        <v>1</v>
      </c>
      <c r="E13" s="28" t="n">
        <f aca="false">D13*Synthèse!$C$10</f>
        <v>0</v>
      </c>
    </row>
    <row r="14" customFormat="false" ht="15" hidden="false" customHeight="false" outlineLevel="0" collapsed="false">
      <c r="B14" s="20" t="s">
        <v>72</v>
      </c>
      <c r="C14" s="19" t="s">
        <v>73</v>
      </c>
      <c r="D14" s="11" t="n">
        <v>1.5</v>
      </c>
      <c r="E14" s="28" t="n">
        <f aca="false">D14*Synthèse!$C$10</f>
        <v>0</v>
      </c>
    </row>
    <row r="15" customFormat="false" ht="15" hidden="false" customHeight="false" outlineLevel="0" collapsed="false">
      <c r="B15" s="20" t="s">
        <v>74</v>
      </c>
      <c r="C15" s="19" t="s">
        <v>75</v>
      </c>
      <c r="D15" s="11" t="n">
        <v>1.5</v>
      </c>
      <c r="E15" s="28" t="n">
        <f aca="false">D15*Synthèse!$C$10</f>
        <v>0</v>
      </c>
    </row>
    <row r="16" customFormat="false" ht="15" hidden="false" customHeight="false" outlineLevel="0" collapsed="false">
      <c r="B16" s="20" t="s">
        <v>76</v>
      </c>
      <c r="C16" s="19" t="s">
        <v>77</v>
      </c>
      <c r="D16" s="11" t="n">
        <v>1</v>
      </c>
      <c r="E16" s="28" t="n">
        <f aca="false">D16*Synthèse!$C$10</f>
        <v>0</v>
      </c>
    </row>
    <row r="17" customFormat="false" ht="15" hidden="false" customHeight="false" outlineLevel="0" collapsed="false">
      <c r="B17" s="20" t="s">
        <v>78</v>
      </c>
      <c r="C17" s="19" t="s">
        <v>79</v>
      </c>
      <c r="D17" s="11" t="n">
        <v>0.5</v>
      </c>
      <c r="E17" s="28" t="n">
        <f aca="false">D17*Synthèse!$C$10</f>
        <v>0</v>
      </c>
    </row>
    <row r="18" customFormat="false" ht="15" hidden="false" customHeight="false" outlineLevel="0" collapsed="false">
      <c r="B18" s="25" t="s">
        <v>18</v>
      </c>
      <c r="C18" s="25"/>
      <c r="D18" s="26" t="n">
        <f aca="false">SUM(D19:D23)</f>
        <v>5</v>
      </c>
      <c r="E18" s="27" t="n">
        <f aca="false">D18*Synthèse!$C$10</f>
        <v>0</v>
      </c>
    </row>
    <row r="19" customFormat="false" ht="15" hidden="false" customHeight="false" outlineLevel="0" collapsed="false">
      <c r="B19" s="20" t="s">
        <v>80</v>
      </c>
      <c r="C19" s="19" t="s">
        <v>81</v>
      </c>
      <c r="D19" s="11" t="n">
        <v>1.5</v>
      </c>
      <c r="E19" s="28" t="n">
        <f aca="false">D19*Synthèse!$C$10</f>
        <v>0</v>
      </c>
    </row>
    <row r="20" customFormat="false" ht="15" hidden="false" customHeight="false" outlineLevel="0" collapsed="false">
      <c r="B20" s="20" t="s">
        <v>82</v>
      </c>
      <c r="C20" s="19" t="s">
        <v>83</v>
      </c>
      <c r="D20" s="11" t="n">
        <v>1</v>
      </c>
      <c r="E20" s="28" t="n">
        <f aca="false">D20*Synthèse!$C$10</f>
        <v>0</v>
      </c>
    </row>
    <row r="21" customFormat="false" ht="15" hidden="false" customHeight="false" outlineLevel="0" collapsed="false">
      <c r="B21" s="20" t="s">
        <v>84</v>
      </c>
      <c r="C21" s="19" t="s">
        <v>85</v>
      </c>
      <c r="D21" s="11" t="n">
        <v>1</v>
      </c>
      <c r="E21" s="28" t="n">
        <f aca="false">D21*Synthèse!$C$10</f>
        <v>0</v>
      </c>
    </row>
    <row r="22" customFormat="false" ht="15" hidden="false" customHeight="false" outlineLevel="0" collapsed="false">
      <c r="B22" s="20" t="s">
        <v>86</v>
      </c>
      <c r="C22" s="19" t="s">
        <v>87</v>
      </c>
      <c r="D22" s="11" t="n">
        <v>0.5</v>
      </c>
      <c r="E22" s="28" t="n">
        <f aca="false">D22*Synthèse!$C$10</f>
        <v>0</v>
      </c>
    </row>
    <row r="23" customFormat="false" ht="15" hidden="false" customHeight="false" outlineLevel="0" collapsed="false">
      <c r="B23" s="20" t="s">
        <v>88</v>
      </c>
      <c r="C23" s="19" t="s">
        <v>89</v>
      </c>
      <c r="D23" s="11" t="n">
        <v>1</v>
      </c>
      <c r="E23" s="28" t="n">
        <f aca="false">D23*Synthèse!$C$10</f>
        <v>0</v>
      </c>
    </row>
    <row r="24" customFormat="false" ht="15" hidden="false" customHeight="false" outlineLevel="0" collapsed="false">
      <c r="B24" s="25" t="s">
        <v>19</v>
      </c>
      <c r="C24" s="25"/>
      <c r="D24" s="26" t="n">
        <f aca="false">SUM(D25:D27)</f>
        <v>2</v>
      </c>
      <c r="E24" s="27" t="n">
        <f aca="false">D24*Synthèse!$C$10</f>
        <v>0</v>
      </c>
    </row>
    <row r="25" customFormat="false" ht="15" hidden="false" customHeight="false" outlineLevel="0" collapsed="false">
      <c r="B25" s="20" t="s">
        <v>90</v>
      </c>
      <c r="C25" s="19" t="s">
        <v>91</v>
      </c>
      <c r="D25" s="11" t="n">
        <v>1</v>
      </c>
      <c r="E25" s="28" t="n">
        <f aca="false">D25*Synthèse!$C$10</f>
        <v>0</v>
      </c>
    </row>
    <row r="26" customFormat="false" ht="15" hidden="false" customHeight="false" outlineLevel="0" collapsed="false">
      <c r="B26" s="20" t="s">
        <v>92</v>
      </c>
      <c r="C26" s="19" t="s">
        <v>93</v>
      </c>
      <c r="D26" s="11" t="n">
        <v>0.5</v>
      </c>
      <c r="E26" s="28" t="n">
        <f aca="false">D26*Synthèse!$C$10</f>
        <v>0</v>
      </c>
    </row>
    <row r="27" customFormat="false" ht="15" hidden="false" customHeight="false" outlineLevel="0" collapsed="false">
      <c r="B27" s="20" t="s">
        <v>94</v>
      </c>
      <c r="C27" s="19" t="s">
        <v>95</v>
      </c>
      <c r="D27" s="11" t="n">
        <v>0.5</v>
      </c>
      <c r="E27" s="28" t="n">
        <f aca="false">D27*Synthèse!$C$10</f>
        <v>0</v>
      </c>
    </row>
    <row r="28" customFormat="false" ht="15" hidden="false" customHeight="false" outlineLevel="0" collapsed="false">
      <c r="B28" s="25" t="s">
        <v>20</v>
      </c>
      <c r="C28" s="25"/>
      <c r="D28" s="26" t="n">
        <f aca="false">SUM(D29:D31)</f>
        <v>4</v>
      </c>
      <c r="E28" s="27" t="n">
        <f aca="false">D28*Synthèse!$C$10</f>
        <v>0</v>
      </c>
    </row>
    <row r="29" customFormat="false" ht="15" hidden="false" customHeight="false" outlineLevel="0" collapsed="false">
      <c r="B29" s="20" t="s">
        <v>96</v>
      </c>
      <c r="C29" s="19" t="s">
        <v>97</v>
      </c>
      <c r="D29" s="11" t="n">
        <v>1.5</v>
      </c>
      <c r="E29" s="28" t="n">
        <f aca="false">D29*Synthèse!$C$10</f>
        <v>0</v>
      </c>
    </row>
    <row r="30" customFormat="false" ht="15" hidden="false" customHeight="false" outlineLevel="0" collapsed="false">
      <c r="B30" s="20" t="s">
        <v>98</v>
      </c>
      <c r="C30" s="19" t="s">
        <v>99</v>
      </c>
      <c r="D30" s="11" t="n">
        <v>1</v>
      </c>
      <c r="E30" s="28" t="n">
        <f aca="false">D30*Synthèse!$C$10</f>
        <v>0</v>
      </c>
    </row>
    <row r="31" customFormat="false" ht="15" hidden="false" customHeight="false" outlineLevel="0" collapsed="false">
      <c r="B31" s="20" t="s">
        <v>100</v>
      </c>
      <c r="C31" s="19" t="s">
        <v>101</v>
      </c>
      <c r="D31" s="11" t="n">
        <v>1.5</v>
      </c>
      <c r="E31" s="28" t="n">
        <f aca="false">D31*Synthèse!$C$10</f>
        <v>0</v>
      </c>
    </row>
    <row r="32" customFormat="false" ht="15" hidden="false" customHeight="false" outlineLevel="0" collapsed="false">
      <c r="B32" s="25" t="s">
        <v>21</v>
      </c>
      <c r="C32" s="25"/>
      <c r="D32" s="26" t="n">
        <f aca="false">SUM(D33:D35)</f>
        <v>3</v>
      </c>
      <c r="E32" s="27" t="n">
        <f aca="false">D32*Synthèse!$C$10</f>
        <v>0</v>
      </c>
    </row>
    <row r="33" customFormat="false" ht="15" hidden="false" customHeight="false" outlineLevel="0" collapsed="false">
      <c r="B33" s="20" t="s">
        <v>102</v>
      </c>
      <c r="C33" s="19" t="s">
        <v>103</v>
      </c>
      <c r="D33" s="11" t="n">
        <v>1</v>
      </c>
      <c r="E33" s="28" t="n">
        <f aca="false">D33*Synthèse!$C$10</f>
        <v>0</v>
      </c>
    </row>
    <row r="34" customFormat="false" ht="15" hidden="false" customHeight="false" outlineLevel="0" collapsed="false">
      <c r="B34" s="20" t="s">
        <v>104</v>
      </c>
      <c r="C34" s="19" t="s">
        <v>105</v>
      </c>
      <c r="D34" s="11" t="n">
        <v>1</v>
      </c>
      <c r="E34" s="28" t="n">
        <f aca="false">D34*Synthèse!$C$10</f>
        <v>0</v>
      </c>
    </row>
    <row r="35" customFormat="false" ht="15" hidden="false" customHeight="false" outlineLevel="0" collapsed="false">
      <c r="B35" s="20" t="s">
        <v>106</v>
      </c>
      <c r="C35" s="19" t="s">
        <v>107</v>
      </c>
      <c r="D35" s="11" t="n">
        <v>1</v>
      </c>
      <c r="E35" s="28" t="n">
        <f aca="false">D35*Synthèse!$C$10</f>
        <v>0</v>
      </c>
    </row>
    <row r="36" customFormat="false" ht="15" hidden="false" customHeight="false" outlineLevel="0" collapsed="false">
      <c r="B36" s="25" t="s">
        <v>22</v>
      </c>
      <c r="C36" s="25"/>
      <c r="D36" s="26" t="n">
        <f aca="false">SUM(D37)</f>
        <v>3</v>
      </c>
      <c r="E36" s="27" t="n">
        <f aca="false">D36*Synthèse!$C$10</f>
        <v>0</v>
      </c>
    </row>
    <row r="37" customFormat="false" ht="15" hidden="false" customHeight="false" outlineLevel="0" collapsed="false">
      <c r="B37" s="20" t="s">
        <v>108</v>
      </c>
      <c r="C37" s="19" t="s">
        <v>109</v>
      </c>
      <c r="D37" s="11" t="n">
        <v>3</v>
      </c>
      <c r="E37" s="28" t="n">
        <f aca="false">D37*Synthèse!$C$10</f>
        <v>0</v>
      </c>
    </row>
    <row r="38" customFormat="false" ht="15" hidden="false" customHeight="true" outlineLevel="0" collapsed="false">
      <c r="B38" s="14" t="s">
        <v>110</v>
      </c>
      <c r="C38" s="14"/>
      <c r="D38" s="15" t="n">
        <f aca="false">Synthèse!C21</f>
        <v>28</v>
      </c>
      <c r="E38" s="17" t="n">
        <f aca="false">D38*Synthèse!$C$10</f>
        <v>0</v>
      </c>
    </row>
    <row r="41" customFormat="false" ht="15" hidden="false" customHeight="false" outlineLevel="0" collapsed="false">
      <c r="B41" s="29" t="s">
        <v>111</v>
      </c>
      <c r="C41" s="29"/>
      <c r="D41" s="29"/>
      <c r="E41" s="29"/>
    </row>
    <row r="42" customFormat="false" ht="15" hidden="false" customHeight="false" outlineLevel="0" collapsed="false">
      <c r="B42" s="30" t="s">
        <v>112</v>
      </c>
      <c r="C42" s="31" t="s">
        <v>113</v>
      </c>
      <c r="D42" s="31"/>
      <c r="E42" s="31"/>
    </row>
    <row r="43" customFormat="false" ht="15" hidden="false" customHeight="false" outlineLevel="0" collapsed="false">
      <c r="B43" s="32" t="s">
        <v>114</v>
      </c>
      <c r="C43" s="31" t="s">
        <v>115</v>
      </c>
      <c r="D43" s="31"/>
      <c r="E43" s="31"/>
    </row>
    <row r="44" customFormat="false" ht="15" hidden="false" customHeight="false" outlineLevel="0" collapsed="false">
      <c r="B44" s="33" t="s">
        <v>116</v>
      </c>
      <c r="C44" s="31" t="s">
        <v>117</v>
      </c>
      <c r="D44" s="31"/>
      <c r="E44" s="31"/>
    </row>
    <row r="45" customFormat="false" ht="15" hidden="false" customHeight="false" outlineLevel="0" collapsed="false">
      <c r="B45" s="32" t="s">
        <v>118</v>
      </c>
      <c r="C45" s="31" t="s">
        <v>119</v>
      </c>
      <c r="D45" s="31"/>
      <c r="E45" s="31"/>
    </row>
  </sheetData>
  <mergeCells count="15">
    <mergeCell ref="B2:E2"/>
    <mergeCell ref="B3:E3"/>
    <mergeCell ref="B6:C6"/>
    <mergeCell ref="B11:C11"/>
    <mergeCell ref="B18:C18"/>
    <mergeCell ref="B24:C24"/>
    <mergeCell ref="B28:C28"/>
    <mergeCell ref="B32:C32"/>
    <mergeCell ref="B36:C36"/>
    <mergeCell ref="B38:C38"/>
    <mergeCell ref="B41:E41"/>
    <mergeCell ref="C42:E42"/>
    <mergeCell ref="C43:E43"/>
    <mergeCell ref="C44:E44"/>
    <mergeCell ref="C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70"/>
  </cols>
  <sheetData>
    <row r="2" customFormat="false" ht="24" hidden="false" customHeight="true" outlineLevel="0" collapsed="false">
      <c r="B2" s="34" t="s">
        <v>120</v>
      </c>
      <c r="C2" s="34"/>
    </row>
    <row r="4" customFormat="false" ht="21.75" hidden="false" customHeight="true" outlineLevel="0" collapsed="false">
      <c r="B4" s="35" t="s">
        <v>121</v>
      </c>
      <c r="C4" s="35"/>
    </row>
    <row r="5" customFormat="false" ht="15" hidden="false" customHeight="false" outlineLevel="0" collapsed="false">
      <c r="B5" s="36" t="s">
        <v>122</v>
      </c>
      <c r="C5" s="37" t="s">
        <v>123</v>
      </c>
    </row>
    <row r="6" customFormat="false" ht="15" hidden="false" customHeight="false" outlineLevel="0" collapsed="false">
      <c r="B6" s="36" t="s">
        <v>124</v>
      </c>
      <c r="C6" s="37" t="s">
        <v>125</v>
      </c>
    </row>
    <row r="7" customFormat="false" ht="15" hidden="false" customHeight="false" outlineLevel="0" collapsed="false">
      <c r="B7" s="36" t="s">
        <v>126</v>
      </c>
      <c r="C7" s="37" t="s">
        <v>127</v>
      </c>
    </row>
    <row r="8" customFormat="false" ht="23.85" hidden="false" customHeight="false" outlineLevel="0" collapsed="false">
      <c r="B8" s="36" t="s">
        <v>128</v>
      </c>
      <c r="C8" s="37" t="s">
        <v>129</v>
      </c>
    </row>
    <row r="9" customFormat="false" ht="15" hidden="false" customHeight="false" outlineLevel="0" collapsed="false">
      <c r="B9" s="36" t="s">
        <v>130</v>
      </c>
      <c r="C9" s="37" t="s">
        <v>131</v>
      </c>
    </row>
    <row r="10" customFormat="false" ht="6" hidden="false" customHeight="true" outlineLevel="0" collapsed="false"/>
    <row r="11" customFormat="false" ht="21.75" hidden="false" customHeight="true" outlineLevel="0" collapsed="false">
      <c r="B11" s="35" t="s">
        <v>132</v>
      </c>
      <c r="C11" s="35"/>
    </row>
    <row r="12" customFormat="false" ht="15" hidden="false" customHeight="false" outlineLevel="0" collapsed="false">
      <c r="B12" s="36" t="s">
        <v>133</v>
      </c>
      <c r="C12" s="37" t="s">
        <v>134</v>
      </c>
    </row>
    <row r="13" customFormat="false" ht="23.85" hidden="false" customHeight="false" outlineLevel="0" collapsed="false">
      <c r="B13" s="36" t="s">
        <v>135</v>
      </c>
      <c r="C13" s="37" t="s">
        <v>136</v>
      </c>
    </row>
    <row r="14" customFormat="false" ht="15" hidden="false" customHeight="false" outlineLevel="0" collapsed="false">
      <c r="B14" s="36" t="s">
        <v>137</v>
      </c>
      <c r="C14" s="37" t="s">
        <v>138</v>
      </c>
    </row>
    <row r="15" customFormat="false" ht="23.85" hidden="false" customHeight="false" outlineLevel="0" collapsed="false">
      <c r="B15" s="36" t="s">
        <v>139</v>
      </c>
      <c r="C15" s="37" t="s">
        <v>140</v>
      </c>
    </row>
    <row r="16" customFormat="false" ht="15" hidden="false" customHeight="false" outlineLevel="0" collapsed="false">
      <c r="B16" s="36" t="s">
        <v>141</v>
      </c>
      <c r="C16" s="37" t="s">
        <v>142</v>
      </c>
    </row>
    <row r="17" customFormat="false" ht="6" hidden="false" customHeight="true" outlineLevel="0" collapsed="false"/>
    <row r="18" customFormat="false" ht="21.75" hidden="false" customHeight="true" outlineLevel="0" collapsed="false">
      <c r="B18" s="35" t="s">
        <v>143</v>
      </c>
      <c r="C18" s="35"/>
    </row>
    <row r="19" customFormat="false" ht="15" hidden="false" customHeight="false" outlineLevel="0" collapsed="false">
      <c r="B19" s="36" t="s">
        <v>144</v>
      </c>
      <c r="C19" s="37" t="s">
        <v>145</v>
      </c>
    </row>
    <row r="20" customFormat="false" ht="15" hidden="false" customHeight="false" outlineLevel="0" collapsed="false">
      <c r="B20" s="36" t="s">
        <v>146</v>
      </c>
      <c r="C20" s="37" t="s">
        <v>147</v>
      </c>
    </row>
    <row r="21" customFormat="false" ht="15" hidden="false" customHeight="false" outlineLevel="0" collapsed="false">
      <c r="B21" s="36" t="s">
        <v>148</v>
      </c>
      <c r="C21" s="37" t="s">
        <v>149</v>
      </c>
    </row>
    <row r="22" customFormat="false" ht="15" hidden="false" customHeight="false" outlineLevel="0" collapsed="false">
      <c r="B22" s="36" t="s">
        <v>150</v>
      </c>
      <c r="C22" s="37" t="s">
        <v>151</v>
      </c>
    </row>
    <row r="23" customFormat="false" ht="15" hidden="false" customHeight="false" outlineLevel="0" collapsed="false">
      <c r="B23" s="36" t="s">
        <v>152</v>
      </c>
      <c r="C23" s="37" t="s">
        <v>153</v>
      </c>
    </row>
    <row r="24" customFormat="false" ht="15" hidden="false" customHeight="false" outlineLevel="0" collapsed="false">
      <c r="B24" s="36" t="s">
        <v>154</v>
      </c>
      <c r="C24" s="37" t="s">
        <v>155</v>
      </c>
    </row>
    <row r="25" customFormat="false" ht="15" hidden="false" customHeight="false" outlineLevel="0" collapsed="false">
      <c r="B25" s="36" t="s">
        <v>156</v>
      </c>
      <c r="C25" s="37" t="s">
        <v>157</v>
      </c>
    </row>
    <row r="26" customFormat="false" ht="6" hidden="false" customHeight="true" outlineLevel="0" collapsed="false"/>
    <row r="27" customFormat="false" ht="21.75" hidden="false" customHeight="true" outlineLevel="0" collapsed="false">
      <c r="B27" s="35" t="s">
        <v>158</v>
      </c>
      <c r="C27" s="35"/>
    </row>
    <row r="28" customFormat="false" ht="15" hidden="false" customHeight="false" outlineLevel="0" collapsed="false">
      <c r="B28" s="36" t="s">
        <v>159</v>
      </c>
      <c r="C28" s="37" t="s">
        <v>160</v>
      </c>
    </row>
    <row r="29" customFormat="false" ht="15" hidden="false" customHeight="false" outlineLevel="0" collapsed="false">
      <c r="B29" s="36" t="s">
        <v>161</v>
      </c>
      <c r="C29" s="37" t="s">
        <v>162</v>
      </c>
    </row>
    <row r="30" customFormat="false" ht="15" hidden="false" customHeight="false" outlineLevel="0" collapsed="false">
      <c r="B30" s="36" t="s">
        <v>163</v>
      </c>
      <c r="C30" s="37" t="s">
        <v>164</v>
      </c>
    </row>
    <row r="31" customFormat="false" ht="15" hidden="false" customHeight="false" outlineLevel="0" collapsed="false">
      <c r="B31" s="36" t="s">
        <v>165</v>
      </c>
      <c r="C31" s="37" t="s">
        <v>166</v>
      </c>
    </row>
    <row r="32" customFormat="false" ht="15" hidden="false" customHeight="false" outlineLevel="0" collapsed="false">
      <c r="B32" s="36" t="s">
        <v>167</v>
      </c>
      <c r="C32" s="37" t="s">
        <v>168</v>
      </c>
    </row>
    <row r="33" customFormat="false" ht="15" hidden="false" customHeight="false" outlineLevel="0" collapsed="false">
      <c r="B33" s="36" t="s">
        <v>169</v>
      </c>
      <c r="C33" s="37" t="s">
        <v>170</v>
      </c>
    </row>
    <row r="34" customFormat="false" ht="15" hidden="false" customHeight="false" outlineLevel="0" collapsed="false">
      <c r="B34" s="36" t="s">
        <v>171</v>
      </c>
      <c r="C34" s="37" t="s">
        <v>172</v>
      </c>
    </row>
    <row r="35" customFormat="false" ht="6" hidden="false" customHeight="true" outlineLevel="0" collapsed="false"/>
    <row r="36" customFormat="false" ht="21.75" hidden="false" customHeight="true" outlineLevel="0" collapsed="false">
      <c r="B36" s="35" t="s">
        <v>173</v>
      </c>
      <c r="C36" s="35"/>
    </row>
    <row r="37" customFormat="false" ht="15" hidden="false" customHeight="false" outlineLevel="0" collapsed="false">
      <c r="B37" s="36" t="s">
        <v>174</v>
      </c>
      <c r="C37" s="37" t="s">
        <v>175</v>
      </c>
    </row>
    <row r="38" customFormat="false" ht="15" hidden="false" customHeight="false" outlineLevel="0" collapsed="false">
      <c r="B38" s="36" t="s">
        <v>176</v>
      </c>
      <c r="C38" s="37" t="s">
        <v>177</v>
      </c>
    </row>
    <row r="39" customFormat="false" ht="15" hidden="false" customHeight="false" outlineLevel="0" collapsed="false">
      <c r="B39" s="36" t="s">
        <v>178</v>
      </c>
      <c r="C39" s="37" t="s">
        <v>179</v>
      </c>
    </row>
    <row r="40" customFormat="false" ht="6" hidden="false" customHeight="true" outlineLevel="0" collapsed="false"/>
    <row r="41" customFormat="false" ht="21.75" hidden="false" customHeight="true" outlineLevel="0" collapsed="false">
      <c r="B41" s="35" t="s">
        <v>180</v>
      </c>
      <c r="C41" s="35"/>
    </row>
    <row r="42" customFormat="false" ht="15" hidden="false" customHeight="false" outlineLevel="0" collapsed="false">
      <c r="B42" s="36" t="s">
        <v>181</v>
      </c>
      <c r="C42" s="37" t="s">
        <v>182</v>
      </c>
    </row>
    <row r="43" customFormat="false" ht="15" hidden="false" customHeight="false" outlineLevel="0" collapsed="false">
      <c r="B43" s="36" t="s">
        <v>183</v>
      </c>
      <c r="C43" s="37" t="s">
        <v>184</v>
      </c>
    </row>
    <row r="44" customFormat="false" ht="15" hidden="false" customHeight="false" outlineLevel="0" collapsed="false">
      <c r="B44" s="36" t="s">
        <v>185</v>
      </c>
      <c r="C44" s="37" t="s">
        <v>186</v>
      </c>
    </row>
  </sheetData>
  <mergeCells count="7">
    <mergeCell ref="B2:C2"/>
    <mergeCell ref="B4:C4"/>
    <mergeCell ref="B11:C11"/>
    <mergeCell ref="B18:C18"/>
    <mergeCell ref="B27:C27"/>
    <mergeCell ref="B36:C36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</cols>
  <sheetData>
    <row r="2" customFormat="false" ht="24" hidden="false" customHeight="true" outlineLevel="0" collapsed="false">
      <c r="B2" s="34" t="s">
        <v>187</v>
      </c>
      <c r="C2" s="34"/>
      <c r="D2" s="34"/>
      <c r="E2" s="34"/>
      <c r="F2" s="34"/>
      <c r="G2" s="34"/>
    </row>
    <row r="3" customFormat="false" ht="15" hidden="false" customHeight="false" outlineLevel="0" collapsed="false">
      <c r="B3" s="24" t="s">
        <v>188</v>
      </c>
      <c r="C3" s="24"/>
      <c r="D3" s="24"/>
      <c r="E3" s="24"/>
      <c r="F3" s="24"/>
      <c r="G3" s="24"/>
    </row>
    <row r="5" customFormat="false" ht="31.5" hidden="false" customHeight="true" outlineLevel="0" collapsed="false">
      <c r="B5" s="9" t="s">
        <v>189</v>
      </c>
      <c r="C5" s="9" t="s">
        <v>190</v>
      </c>
      <c r="D5" s="9" t="s">
        <v>191</v>
      </c>
      <c r="E5" s="9" t="s">
        <v>192</v>
      </c>
      <c r="F5" s="9" t="s">
        <v>193</v>
      </c>
      <c r="G5" s="9" t="s">
        <v>194</v>
      </c>
    </row>
    <row r="6" customFormat="false" ht="15" hidden="false" customHeight="false" outlineLevel="0" collapsed="false">
      <c r="B6" s="38" t="s">
        <v>195</v>
      </c>
      <c r="C6" s="19" t="s">
        <v>196</v>
      </c>
      <c r="D6" s="39" t="n">
        <v>4</v>
      </c>
      <c r="E6" s="40" t="n">
        <v>24</v>
      </c>
      <c r="F6" s="41" t="n">
        <f aca="false">D6*E6</f>
        <v>96</v>
      </c>
      <c r="G6" s="41" t="n">
        <f aca="false">F6*12</f>
        <v>1152</v>
      </c>
    </row>
    <row r="7" customFormat="false" ht="15" hidden="false" customHeight="false" outlineLevel="0" collapsed="false">
      <c r="B7" s="38" t="s">
        <v>197</v>
      </c>
      <c r="C7" s="19" t="s">
        <v>198</v>
      </c>
      <c r="D7" s="39" t="n">
        <v>1</v>
      </c>
      <c r="E7" s="40" t="n">
        <v>39</v>
      </c>
      <c r="F7" s="41" t="n">
        <f aca="false">D7*E7</f>
        <v>39</v>
      </c>
      <c r="G7" s="41" t="n">
        <f aca="false">F7*12</f>
        <v>468</v>
      </c>
    </row>
    <row r="8" customFormat="false" ht="15" hidden="false" customHeight="false" outlineLevel="0" collapsed="false">
      <c r="B8" s="38" t="s">
        <v>199</v>
      </c>
      <c r="C8" s="19" t="s">
        <v>200</v>
      </c>
      <c r="D8" s="39" t="n">
        <v>1</v>
      </c>
      <c r="E8" s="40" t="n">
        <v>9</v>
      </c>
      <c r="F8" s="41" t="n">
        <f aca="false">D8*E8</f>
        <v>9</v>
      </c>
      <c r="G8" s="41" t="n">
        <f aca="false">F8*12</f>
        <v>108</v>
      </c>
    </row>
    <row r="9" customFormat="false" ht="15" hidden="false" customHeight="false" outlineLevel="0" collapsed="false">
      <c r="B9" s="42" t="s">
        <v>201</v>
      </c>
      <c r="C9" s="43" t="s">
        <v>202</v>
      </c>
      <c r="D9" s="43"/>
      <c r="E9" s="43"/>
      <c r="F9" s="44" t="n">
        <f aca="false">SUM(F6:F8)</f>
        <v>144</v>
      </c>
      <c r="G9" s="44" t="n">
        <f aca="false">F9*12</f>
        <v>1728</v>
      </c>
    </row>
    <row r="12" customFormat="false" ht="15" hidden="false" customHeight="false" outlineLevel="0" collapsed="false">
      <c r="B12" s="45" t="s">
        <v>203</v>
      </c>
      <c r="C12" s="45"/>
      <c r="D12" s="45"/>
      <c r="E12" s="45"/>
      <c r="F12" s="45"/>
      <c r="G12" s="45"/>
    </row>
    <row r="13" customFormat="false" ht="15" hidden="false" customHeight="false" outlineLevel="0" collapsed="false">
      <c r="B13" s="46" t="s">
        <v>204</v>
      </c>
      <c r="C13" s="46"/>
      <c r="D13" s="46"/>
      <c r="E13" s="46"/>
      <c r="F13" s="46"/>
      <c r="G13" s="46"/>
    </row>
    <row r="14" customFormat="false" ht="31.5" hidden="false" customHeight="true" outlineLevel="0" collapsed="false">
      <c r="B14" s="47" t="s">
        <v>205</v>
      </c>
      <c r="C14" s="47"/>
      <c r="D14" s="47"/>
      <c r="E14" s="47"/>
      <c r="F14" s="47"/>
      <c r="G14" s="47"/>
    </row>
    <row r="15" customFormat="false" ht="15" hidden="false" customHeight="false" outlineLevel="0" collapsed="false">
      <c r="B15" s="46" t="s">
        <v>206</v>
      </c>
      <c r="C15" s="46"/>
      <c r="D15" s="46"/>
      <c r="E15" s="46"/>
      <c r="F15" s="46"/>
      <c r="G15" s="46"/>
    </row>
    <row r="16" customFormat="false" ht="31.5" hidden="false" customHeight="true" outlineLevel="0" collapsed="false">
      <c r="B16" s="47" t="s">
        <v>207</v>
      </c>
      <c r="C16" s="47"/>
      <c r="D16" s="47"/>
      <c r="E16" s="47"/>
      <c r="F16" s="47"/>
      <c r="G16" s="47"/>
    </row>
    <row r="17" customFormat="false" ht="15" hidden="false" customHeight="false" outlineLevel="0" collapsed="false">
      <c r="B17" s="46" t="s">
        <v>208</v>
      </c>
      <c r="C17" s="46"/>
      <c r="D17" s="46"/>
      <c r="E17" s="46"/>
      <c r="F17" s="46"/>
      <c r="G17" s="46"/>
    </row>
    <row r="18" customFormat="false" ht="31.5" hidden="false" customHeight="true" outlineLevel="0" collapsed="false">
      <c r="B18" s="47" t="s">
        <v>209</v>
      </c>
      <c r="C18" s="47"/>
      <c r="D18" s="47"/>
      <c r="E18" s="47"/>
      <c r="F18" s="47"/>
      <c r="G18" s="47"/>
    </row>
    <row r="19" customFormat="false" ht="15" hidden="false" customHeight="false" outlineLevel="0" collapsed="false">
      <c r="B19" s="46" t="s">
        <v>210</v>
      </c>
      <c r="C19" s="46"/>
      <c r="D19" s="46"/>
      <c r="E19" s="46"/>
      <c r="F19" s="46"/>
      <c r="G19" s="46"/>
    </row>
    <row r="20" customFormat="false" ht="31.5" hidden="false" customHeight="true" outlineLevel="0" collapsed="false">
      <c r="B20" s="47" t="s">
        <v>211</v>
      </c>
      <c r="C20" s="47"/>
      <c r="D20" s="47"/>
      <c r="E20" s="47"/>
      <c r="F20" s="47"/>
      <c r="G20" s="47"/>
    </row>
    <row r="21" customFormat="false" ht="15" hidden="false" customHeight="false" outlineLevel="0" collapsed="false">
      <c r="B21" s="46" t="s">
        <v>212</v>
      </c>
      <c r="C21" s="46"/>
      <c r="D21" s="46"/>
      <c r="E21" s="46"/>
      <c r="F21" s="46"/>
      <c r="G21" s="46"/>
    </row>
    <row r="22" customFormat="false" ht="31.5" hidden="false" customHeight="true" outlineLevel="0" collapsed="false">
      <c r="B22" s="47" t="s">
        <v>213</v>
      </c>
      <c r="C22" s="47"/>
      <c r="D22" s="47"/>
      <c r="E22" s="47"/>
      <c r="F22" s="47"/>
      <c r="G22" s="47"/>
    </row>
    <row r="23" customFormat="false" ht="15" hidden="false" customHeight="false" outlineLevel="0" collapsed="false">
      <c r="B23" s="46" t="s">
        <v>199</v>
      </c>
      <c r="C23" s="46"/>
      <c r="D23" s="46"/>
      <c r="E23" s="46"/>
      <c r="F23" s="46"/>
      <c r="G23" s="46"/>
    </row>
    <row r="24" customFormat="false" ht="31.5" hidden="false" customHeight="true" outlineLevel="0" collapsed="false">
      <c r="B24" s="47" t="s">
        <v>214</v>
      </c>
      <c r="C24" s="47"/>
      <c r="D24" s="47"/>
      <c r="E24" s="47"/>
      <c r="F24" s="47"/>
      <c r="G24" s="47"/>
    </row>
  </sheetData>
  <mergeCells count="16">
    <mergeCell ref="B2:G2"/>
    <mergeCell ref="B3:G3"/>
    <mergeCell ref="C9:E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2026-04-29T09:37:39Z</dcterms:created>
  <dc:creator>openpyxl</dc:creator>
  <dc:description/>
  <dc:language>en-US</dc:language>
  <cp:lastModifiedBy/>
  <dcterms:modified xsi:type="dcterms:W3CDTF">2026-04-29T09:37:40Z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