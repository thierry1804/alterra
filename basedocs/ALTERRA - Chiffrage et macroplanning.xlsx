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randriantiana\Documents\nexta\"/>
    </mc:Choice>
  </mc:AlternateContent>
  <bookViews>
    <workbookView xWindow="0" yWindow="0" windowWidth="16380" windowHeight="8196" tabRatio="500" activeTab="2"/>
  </bookViews>
  <sheets>
    <sheet name="Synthèse" sheetId="1" r:id="rId1"/>
    <sheet name="Détail V1" sheetId="2" r:id="rId2"/>
    <sheet name="Détail V2" sheetId="3" r:id="rId3"/>
    <sheet name="Macroplanning" sheetId="4" r:id="rId4"/>
    <sheet name="Marge et risques" sheetId="5" r:id="rId5"/>
    <sheet name="Charges complémentaires" sheetId="6" r:id="rId6"/>
    <sheet name="Hypothèses" sheetId="7" r:id="rId7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6" l="1"/>
  <c r="E18" i="6" s="1"/>
  <c r="E15" i="6"/>
  <c r="D15" i="6"/>
  <c r="E14" i="6"/>
  <c r="E13" i="6"/>
  <c r="E12" i="6"/>
  <c r="E11" i="6"/>
  <c r="E10" i="6"/>
  <c r="E9" i="6"/>
  <c r="E8" i="6"/>
  <c r="E7" i="6"/>
  <c r="E6" i="6"/>
  <c r="C18" i="5"/>
  <c r="C12" i="5"/>
  <c r="E30" i="3"/>
  <c r="E29" i="3"/>
  <c r="D28" i="3"/>
  <c r="E28" i="3" s="1"/>
  <c r="E27" i="3"/>
  <c r="E26" i="3"/>
  <c r="D26" i="3"/>
  <c r="E25" i="3"/>
  <c r="D24" i="3"/>
  <c r="E24" i="3" s="1"/>
  <c r="E23" i="3"/>
  <c r="E22" i="3"/>
  <c r="E21" i="3"/>
  <c r="E20" i="3"/>
  <c r="D20" i="3"/>
  <c r="E19" i="3"/>
  <c r="E18" i="3"/>
  <c r="E17" i="3"/>
  <c r="D17" i="3"/>
  <c r="E16" i="3"/>
  <c r="E15" i="3"/>
  <c r="E14" i="3"/>
  <c r="D14" i="3"/>
  <c r="E13" i="3"/>
  <c r="E12" i="3"/>
  <c r="E11" i="3"/>
  <c r="D11" i="3"/>
  <c r="E10" i="3"/>
  <c r="E9" i="3"/>
  <c r="E8" i="3"/>
  <c r="D8" i="3"/>
  <c r="E7" i="3"/>
  <c r="D6" i="3"/>
  <c r="E6" i="3" s="1"/>
  <c r="E47" i="2"/>
  <c r="E46" i="2"/>
  <c r="D46" i="2"/>
  <c r="E45" i="2"/>
  <c r="E44" i="2"/>
  <c r="E43" i="2"/>
  <c r="D43" i="2"/>
  <c r="E42" i="2"/>
  <c r="E41" i="2"/>
  <c r="E40" i="2"/>
  <c r="D39" i="2"/>
  <c r="E39" i="2" s="1"/>
  <c r="E38" i="2"/>
  <c r="E37" i="2"/>
  <c r="D36" i="2"/>
  <c r="E36" i="2" s="1"/>
  <c r="E35" i="2"/>
  <c r="E34" i="2"/>
  <c r="E33" i="2"/>
  <c r="D32" i="2"/>
  <c r="E32" i="2" s="1"/>
  <c r="E31" i="2"/>
  <c r="E30" i="2"/>
  <c r="E29" i="2"/>
  <c r="E28" i="2"/>
  <c r="E27" i="2"/>
  <c r="D27" i="2"/>
  <c r="E26" i="2"/>
  <c r="E25" i="2"/>
  <c r="E24" i="2"/>
  <c r="E23" i="2"/>
  <c r="E22" i="2"/>
  <c r="E21" i="2"/>
  <c r="E20" i="2"/>
  <c r="D20" i="2"/>
  <c r="E19" i="2"/>
  <c r="E18" i="2"/>
  <c r="E17" i="2"/>
  <c r="E16" i="2"/>
  <c r="D15" i="2"/>
  <c r="E15" i="2" s="1"/>
  <c r="E14" i="2"/>
  <c r="E13" i="2"/>
  <c r="E12" i="2"/>
  <c r="E11" i="2"/>
  <c r="E10" i="2"/>
  <c r="D10" i="2"/>
  <c r="E9" i="2"/>
  <c r="E8" i="2"/>
  <c r="E7" i="2"/>
  <c r="D6" i="2"/>
  <c r="E6" i="2" s="1"/>
  <c r="C41" i="1"/>
  <c r="E41" i="1" s="1"/>
  <c r="C39" i="1"/>
  <c r="E39" i="1" s="1"/>
  <c r="E31" i="3" s="1"/>
  <c r="E38" i="1"/>
  <c r="E37" i="1"/>
  <c r="E36" i="1"/>
  <c r="D36" i="1"/>
  <c r="E35" i="1"/>
  <c r="E34" i="1"/>
  <c r="D34" i="1"/>
  <c r="E33" i="1"/>
  <c r="E32" i="1"/>
  <c r="D32" i="1"/>
  <c r="E31" i="1"/>
  <c r="E30" i="1"/>
  <c r="D30" i="1"/>
  <c r="E29" i="1"/>
  <c r="C25" i="1"/>
  <c r="D48" i="2" s="1"/>
  <c r="E24" i="1"/>
  <c r="E23" i="1"/>
  <c r="E22" i="1"/>
  <c r="D22" i="1"/>
  <c r="E21" i="1"/>
  <c r="E20" i="1"/>
  <c r="D20" i="1"/>
  <c r="E19" i="1"/>
  <c r="E18" i="1"/>
  <c r="D18" i="1"/>
  <c r="E17" i="1"/>
  <c r="E16" i="1"/>
  <c r="D16" i="1"/>
  <c r="E15" i="1"/>
  <c r="E14" i="1"/>
  <c r="D14" i="1"/>
  <c r="D15" i="1" l="1"/>
  <c r="D17" i="1"/>
  <c r="D19" i="1"/>
  <c r="D21" i="1"/>
  <c r="D23" i="1"/>
  <c r="E25" i="1"/>
  <c r="E48" i="2" s="1"/>
  <c r="D31" i="3"/>
  <c r="D29" i="1"/>
  <c r="D31" i="1"/>
  <c r="D33" i="1"/>
  <c r="D35" i="1"/>
  <c r="D37" i="1"/>
</calcChain>
</file>

<file path=xl/sharedStrings.xml><?xml version="1.0" encoding="utf-8"?>
<sst xmlns="http://schemas.openxmlformats.org/spreadsheetml/2006/main" count="401" uniqueCount="364">
  <si>
    <t>Chiffrage et macroplanning — Plateforme ALTERRA v3</t>
  </si>
  <si>
    <t>Livraison en 2 phases : V1 (cœur, 50 j-h, 12 sem) puis V2 (extensions terrain, 20 j-h, 4-5 sem)</t>
  </si>
  <si>
    <t>Version</t>
  </si>
  <si>
    <t>v3.0 — V1 + V2 (NFC, bio offline, workflows)</t>
  </si>
  <si>
    <t>Date</t>
  </si>
  <si>
    <t>28 avril 2026</t>
  </si>
  <si>
    <t>Périmètre</t>
  </si>
  <si>
    <t>5 sites, ~600 MOC actifs, 21 utilisateurs (1 Admin + 5 Chef Service + 15 Chef Équipe)</t>
  </si>
  <si>
    <t>Hypothèse de calcul</t>
  </si>
  <si>
    <t>TJM (Taux Journalier Moyen)</t>
  </si>
  <si>
    <t>à renseigner</t>
  </si>
  <si>
    <t>V1 — Cœur fonctionnel (12 semaines)</t>
  </si>
  <si>
    <t>Phase</t>
  </si>
  <si>
    <t>Jours-homme</t>
  </si>
  <si>
    <t>% V1</t>
  </si>
  <si>
    <t>Coût (TJM × j-h)</t>
  </si>
  <si>
    <t>1. Cadrage et conception</t>
  </si>
  <si>
    <t>2. Backend socle (NestJS + Prisma)</t>
  </si>
  <si>
    <t>3. API métier V1</t>
  </si>
  <si>
    <t>4. Frontend Admin V1 (Web App)</t>
  </si>
  <si>
    <t>5. PWA Terrain V1 (offline-first, sans NFC ni bio offline)</t>
  </si>
  <si>
    <t>6. Module biométrie V1 + rapports</t>
  </si>
  <si>
    <t>7. Données initiales V1 + déploiement</t>
  </si>
  <si>
    <t>8. Tests et recette V1</t>
  </si>
  <si>
    <t>9. Formation et documentation V1</t>
  </si>
  <si>
    <t>10. Hypercare V1</t>
  </si>
  <si>
    <t>Marge prudentielle V1 (AXIAN, MVola, UX)</t>
  </si>
  <si>
    <t>TOTAL V1</t>
  </si>
  <si>
    <t>V2 — Extensions terrain (NFC, biométrie offline, workflows) — 4-5 semaines</t>
  </si>
  <si>
    <t>% V2</t>
  </si>
  <si>
    <t>11. Cadrage V2 (extensions terrain)</t>
  </si>
  <si>
    <t>12. Hiérarchie Zone / Parcelle</t>
  </si>
  <si>
    <t>13. Composition et gestion d'équipes</t>
  </si>
  <si>
    <t>14. Pointage présence NFC</t>
  </si>
  <si>
    <t>15. Biométrie offline</t>
  </si>
  <si>
    <t>16. Workflows de demandes</t>
  </si>
  <si>
    <t>17. Cartographie Admin</t>
  </si>
  <si>
    <t>18. Clôture quotidienne</t>
  </si>
  <si>
    <t>19. Tests V2 + recette + hypercare V2</t>
  </si>
  <si>
    <t>Marge prudentielle V2 (NFC, bio offline)</t>
  </si>
  <si>
    <t>TOTAL V2</t>
  </si>
  <si>
    <t>TOTAL V1 + V2</t>
  </si>
  <si>
    <t>Stratégie V1+V2 : V1 livre un système de pointage et de paiement opérationnel en 12 semaines (objectif 50 j-h tenu). V2 ajoute NFC, biométrie offline, workflows et hiérarchie Zone/Parcelle en 4-5 semaines supplémentaires (20 j-h). V2 peut être signée séparément après recette V1.</t>
  </si>
  <si>
    <t>Délai calendaire</t>
  </si>
  <si>
    <t>V1 — Cœur fonctionnel</t>
  </si>
  <si>
    <t>12 semaines (S1 à S12)</t>
  </si>
  <si>
    <t>V2 — Extensions terrain</t>
  </si>
  <si>
    <t>5 semaines (S13 à S17)</t>
  </si>
  <si>
    <t>V1 + V2 enchaînés</t>
  </si>
  <si>
    <t>17 semaines totales</t>
  </si>
  <si>
    <t>Équipe recommandée</t>
  </si>
  <si>
    <t>1 dev senior + 1 dev fullstack (parallèle frontend/backend)</t>
  </si>
  <si>
    <t>V1 — Détail des tâches par phase (cœur fonctionnel)</t>
  </si>
  <si>
    <t>Le coût se met à jour automatiquement quand le TJM est saisi dans l'onglet Synthèse (cellule C10).</t>
  </si>
  <si>
    <t>Réf</t>
  </si>
  <si>
    <t>Tâche</t>
  </si>
  <si>
    <t>Coût</t>
  </si>
  <si>
    <t>1.1</t>
  </si>
  <si>
    <t>Atelier métier ALTERRA (workflow MOC, activités, biométrie, paiement)</t>
  </si>
  <si>
    <t>1.2</t>
  </si>
  <si>
    <t>Spec détaillée + user stories par rôle (Admin, Chef de Service, Chef d'Équipe)</t>
  </si>
  <si>
    <t>1.3</t>
  </si>
  <si>
    <t>Maquettes Figma — écrans clés Web Admin et PWA Terrain V1</t>
  </si>
  <si>
    <t>2.1</t>
  </si>
  <si>
    <t>Setup Node.js + NestJS + Prisma + PostgreSQL + Docker Compose</t>
  </si>
  <si>
    <t>2.2</t>
  </si>
  <si>
    <t>Schéma de données V1 (Prisma) et migrations</t>
  </si>
  <si>
    <t>2.3</t>
  </si>
  <si>
    <t>Authentification JWT + refresh + récupération mot de passe</t>
  </si>
  <si>
    <t>2.4</t>
  </si>
  <si>
    <t>RBAC + audit log via triggers PostgreSQL + middleware permissions</t>
  </si>
  <si>
    <t>3.1</t>
  </si>
  <si>
    <t>CRUD référentiels (Sites, Activités)</t>
  </si>
  <si>
    <t>3.2</t>
  </si>
  <si>
    <t>CRUD Travailleurs + import CSV/Excel</t>
  </si>
  <si>
    <t>3.3</t>
  </si>
  <si>
    <t>API Pointages : création, sync batch idempotent, validation, correction</t>
  </si>
  <si>
    <t>3.4</t>
  </si>
  <si>
    <t>API Paiements : calcul bordereau + génération fichier Excel MVola</t>
  </si>
  <si>
    <t>4.1</t>
  </si>
  <si>
    <t>Setup React + Vite + auth + navigation + design system shadcn/ui</t>
  </si>
  <si>
    <t>4.2</t>
  </si>
  <si>
    <t>Tableau de bord (KPIs, graphes, alertes)</t>
  </si>
  <si>
    <t>4.3</t>
  </si>
  <si>
    <t>Modules référentiels (Sites, Activités, Travailleurs, Utilisateurs)</t>
  </si>
  <si>
    <t>4.4</t>
  </si>
  <si>
    <t>Module Pointages — consultation, filtres, correction unitaire</t>
  </si>
  <si>
    <t>4.5</t>
  </si>
  <si>
    <t>Module Paiements — bordereau, génération Excel MVola, suivi statuts</t>
  </si>
  <si>
    <t>4.6</t>
  </si>
  <si>
    <t>Reporting, exports CSV/Excel/PDF, vue Audit log</t>
  </si>
  <si>
    <t>5.1</t>
  </si>
  <si>
    <t>Setup PWA + Service Worker + Dexie + auth avec cache offline</t>
  </si>
  <si>
    <t>5.2</t>
  </si>
  <si>
    <t>Mode Chef d'Équipe : sélection activité + écran saisie en lot ~40 MOC</t>
  </si>
  <si>
    <t>5.3</t>
  </si>
  <si>
    <t>Mode Chef de Service : validation hebdo + capture photo biométrique online</t>
  </si>
  <si>
    <t>5.4</t>
  </si>
  <si>
    <t>Sync engine : push batch idempotent, gestion conflits, retry</t>
  </si>
  <si>
    <t>6.1</t>
  </si>
  <si>
    <t>Microservice biométrie : adapter pattern (mock + manuel + AxianProvider)</t>
  </si>
  <si>
    <t>6.2</t>
  </si>
  <si>
    <t>Intégration API AXIAN online (appels, retry, gestion erreurs)</t>
  </si>
  <si>
    <t>6.3</t>
  </si>
  <si>
    <t>Génération rapport hebdomadaire + facture PDF avec signature électronique</t>
  </si>
  <si>
    <t>7.1</t>
  </si>
  <si>
    <t>Import des données initiales (sites, activités, MOC) au format Excel</t>
  </si>
  <si>
    <t>7.2</t>
  </si>
  <si>
    <t>Déploiement VPS Docker Compose + Nginx + TLS + backup + monitoring</t>
  </si>
  <si>
    <t>8.1</t>
  </si>
  <si>
    <t>Tests bout en bout par rôle (Admin, Chef de Service, Chef d'Équipe)</t>
  </si>
  <si>
    <t>8.2</t>
  </si>
  <si>
    <t>Test offline réel sur 1 site pilote</t>
  </si>
  <si>
    <t>8.3</t>
  </si>
  <si>
    <t>Recette ALTERRA + corrections V1</t>
  </si>
  <si>
    <t>9.1</t>
  </si>
  <si>
    <t>Formation Admin + Chefs de Service + Chefs d'Équipe (1 site pilote)</t>
  </si>
  <si>
    <t>9.2</t>
  </si>
  <si>
    <t>Documentation utilisateur + documentation d'exploitation</t>
  </si>
  <si>
    <t>10.1</t>
  </si>
  <si>
    <t>Support et corrections sur 3 semaines après mise en production V1</t>
  </si>
  <si>
    <t>Sous-total V1 baseline + marge</t>
  </si>
  <si>
    <t>V2 — Détail des tâches par phase (extensions terrain)</t>
  </si>
  <si>
    <t>NFC, biométrie offline, workflows de demandes, hiérarchie Zone/Parcelle, cartographie, clôture quotidienne.</t>
  </si>
  <si>
    <t>11.1</t>
  </si>
  <si>
    <t>Atelier UX workflows demandes + spec NFC + maquettes V2</t>
  </si>
  <si>
    <t>12.1</t>
  </si>
  <si>
    <t>Modèle de données + migrations + UI Admin (CRUD Zones / Parcelles)</t>
  </si>
  <si>
    <t>12.2</t>
  </si>
  <si>
    <t>Intégration Zone/Parcelle dans pointages + filtres validation</t>
  </si>
  <si>
    <t>13.1</t>
  </si>
  <si>
    <t>Composition équipes côté PWA Chef de Service (CRUD)</t>
  </si>
  <si>
    <t>13.2</t>
  </si>
  <si>
    <t>Gestion équipe locale Chef d'Équipe (ajout/retrait depuis base existante)</t>
  </si>
  <si>
    <t>14.1</t>
  </si>
  <si>
    <t>Module NFC PWA (Web NFC API) + scan badges + UI mode lecture</t>
  </si>
  <si>
    <t>14.2</t>
  </si>
  <si>
    <t>Backend PresenceRecord + Badge + endpoint sync + tests appareils Android</t>
  </si>
  <si>
    <t>15.1</t>
  </si>
  <si>
    <t>Module pré-fetch templates biométriques + chiffrement WebCrypto local</t>
  </si>
  <si>
    <t>15.2</t>
  </si>
  <si>
    <t>Comparaison face matching embarqué (face-api.js ou équivalent) + sync résultats</t>
  </si>
  <si>
    <t>16.1</t>
  </si>
  <si>
    <t>Demande précisions Chef de Service → Chef d'Équipe (PWA + backend)</t>
  </si>
  <si>
    <t>16.2</t>
  </si>
  <si>
    <t>Demande activité Chef de Service → Admin (PWA + Web Admin + backend)</t>
  </si>
  <si>
    <t>16.3</t>
  </si>
  <si>
    <t>Demande ajout MOC Chef de Service → Admin (PWA + Web Admin + backend)</t>
  </si>
  <si>
    <t>17.1</t>
  </si>
  <si>
    <t>Carte Leaflet + marqueurs sites + couches Zones/Parcelles + popups</t>
  </si>
  <si>
    <t>18.1</t>
  </si>
  <si>
    <t>Endpoint /reports/daily + UI clôture journalière + rapport PDF journalier</t>
  </si>
  <si>
    <t>19.1</t>
  </si>
  <si>
    <t>Tests E2E V2 + tests offline NFC + tests biométrie offline</t>
  </si>
  <si>
    <t>19.2</t>
  </si>
  <si>
    <t>Recette ALTERRA V2 + corrections + hypercare 2 semaines</t>
  </si>
  <si>
    <t>Sous-total V2 baseline + marge</t>
  </si>
  <si>
    <t>Macroplanning V1 + V2 — 17 semaines</t>
  </si>
  <si>
    <t>V1 en bleu (S1 à S12), V2 en rouge (S13 à S17). Équipe : 2 dev fullstack en parallèle.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</si>
  <si>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</si>
  <si>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</si>
  <si>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</si>
  <si>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</si>
  <si>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</si>
  <si>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</si>
  <si>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</si>
  <si>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</si>
  <si>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</si>
  <si>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</si>
  <si>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</si>
  <si>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</si>
  <si>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</si>
  <si>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</si>
  <si>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</si>
  <si>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</si>
  <si>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</si>
  <si>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2. Backend socle</t>
  </si>
  <si>
    <t>4. Frontend Admin V1</t>
  </si>
  <si>
    <t>5. PWA Terrain V1</t>
  </si>
  <si>
    <t>6. Biométrie V1 + rapports</t>
  </si>
  <si>
    <t>7. Données + déploiement V1</t>
  </si>
  <si>
    <t>9. Formation + docs V1</t>
  </si>
  <si>
    <t>11. Cadrage V2</t>
  </si>
  <si>
    <t>12. Zone / Parcelle</t>
  </si>
  <si>
    <t>13. Composition équipes</t>
  </si>
  <si>
    <t>14. Pointage NFC</t>
  </si>
  <si>
    <t>16. Workflows demandes</t>
  </si>
  <si>
    <t>17. Cartographie</t>
  </si>
  <si>
    <t>19. Tests + recette + hypercare V2</t>
  </si>
  <si>
    <t>Jalons clés</t>
  </si>
  <si>
    <t>Échéance</t>
  </si>
  <si>
    <t>Livrable</t>
  </si>
  <si>
    <t>Fin S1</t>
  </si>
  <si>
    <t>V1 — Spec validée + maquettes Figma</t>
  </si>
  <si>
    <t>Fin S4</t>
  </si>
  <si>
    <t>V1 — Backend + API métier opérationnels (sandbox)</t>
  </si>
  <si>
    <t>Fin S6</t>
  </si>
  <si>
    <t>V1 — Frontend Admin fonctionnel en démo</t>
  </si>
  <si>
    <t>Fin S8</t>
  </si>
  <si>
    <t>V1 — PWA Terrain testable bout en bout</t>
  </si>
  <si>
    <t>Fin S9</t>
  </si>
  <si>
    <t>V1 — Module biométrique intégré (mock + manuel)</t>
  </si>
  <si>
    <t>Fin S10</t>
  </si>
  <si>
    <t>V1 — Recette validée + formation effectuée</t>
  </si>
  <si>
    <t>S11-S12</t>
  </si>
  <si>
    <t>V1 — Hypercare en production</t>
  </si>
  <si>
    <t>Décision GO V2</t>
  </si>
  <si>
    <t>Après recette V1 — signature avenant V2</t>
  </si>
  <si>
    <t>Fin S13</t>
  </si>
  <si>
    <t>V2 — Cadrage + modèle Zone/Parcelle</t>
  </si>
  <si>
    <t>Fin S15</t>
  </si>
  <si>
    <t>V2 — NFC + Biométrie offline en démo</t>
  </si>
  <si>
    <t>Fin S16</t>
  </si>
  <si>
    <t>V2 — Workflows demandes + Cartographie livrés</t>
  </si>
  <si>
    <t>Fin S17</t>
  </si>
  <si>
    <t>V2 — Recette + mise en production</t>
  </si>
  <si>
    <t>Marges prudentielles et risques V1 + V2</t>
  </si>
  <si>
    <t>Décomposition des marges intégrées dans le total d'engagement (V1 : 6 j-h ; V2 : 1,5 j-h).</t>
  </si>
  <si>
    <t>Risque / inconnu</t>
  </si>
  <si>
    <t>Marge (j-h)</t>
  </si>
  <si>
    <t>Justification</t>
  </si>
  <si>
    <t>Marge V1</t>
  </si>
  <si>
    <t>API biométrique AXIAN</t>
  </si>
  <si>
    <t>API en cours de développement sans documentation. Couche d'abstraction prévue mais l'intégration finale peut prendre 1 à 3 j supplémentaires.</t>
  </si>
  <si>
    <t>Format MVola Bulk Transfer</t>
  </si>
  <si>
    <t>Format précis du fichier Excel à confirmer auprès du partenariat MVola. Variations possibles sur les en-têtes, longueur de description, encodage.</t>
  </si>
  <si>
    <t>Saisie en lot 40 MOC (UX)</t>
  </si>
  <si>
    <t>L'écran de saisie en lot pour ~40 travailleurs est critique pour l'adoption. Itération possible après prototype testé.</t>
  </si>
  <si>
    <t>Volumétrie réelle</t>
  </si>
  <si>
    <t>Hypothèses validées avec ALTERRA mais quelques incertitudes sur le pic réel.</t>
  </si>
  <si>
    <t>Imprévus généraux V1</t>
  </si>
  <si>
    <t>Marge de sécurité pour debug, comportement smartphone bas de gamme, etc.</t>
  </si>
  <si>
    <t>Total marge V1</t>
  </si>
  <si>
    <t>Marge V2</t>
  </si>
  <si>
    <t>Web NFC API (compatibilité)</t>
  </si>
  <si>
    <t>Chrome Android uniquement. Tests appareils cibles requis. Fallback saisie manuelle prévu.</t>
  </si>
  <si>
    <t>Biométrie offline (perf face matching)</t>
  </si>
  <si>
    <t>face-api.js sur Android bas de gamme : à benchmarker. Modèle TinyFace en fallback.</t>
  </si>
  <si>
    <t>Workflows demandes (UX)</t>
  </si>
  <si>
    <t>Risque d'UX confuse si mal designée. Maquette dédiée.</t>
  </si>
  <si>
    <t>Total marge V2</t>
  </si>
  <si>
    <t>Risques additionnels V2 hors marge : compatibilité NFC iOS (impossible, prévoir flotte Android uniquement), conformité RGPD/Loi 2014-038 sur stockage biométrique local (analyse juridique préalable recommandée), évolution API AXIAN avec impact face matching.</t>
  </si>
  <si>
    <t>Charges complémentaires (récurrentes)</t>
  </si>
  <si>
    <t>Coûts opérationnels mensuels et annuels, hors prestation, à la charge d'ALTERRA. Tarifs indicatifs avril 2026.</t>
  </si>
  <si>
    <t>Poste</t>
  </si>
  <si>
    <t>Détail</t>
  </si>
  <si>
    <t>Mensuel (USD)</t>
  </si>
  <si>
    <t>Annuel (USD)</t>
  </si>
  <si>
    <t>VPS hébergement</t>
  </si>
  <si>
    <t>OVH ou Telma — 4 vCPU / 8 GB / 80 GB SSD</t>
  </si>
  <si>
    <t>Domaine + DNS</t>
  </si>
  <si>
    <t>Renouvellement annuel (SSL Let's Encrypt gratuit)</t>
  </si>
  <si>
    <t>Stockage backup externalisé</t>
  </si>
  <si>
    <t>Backblaze B2, ~50 GB</t>
  </si>
  <si>
    <t>SMS OTP (Telma SMS API)</t>
  </si>
  <si>
    <t>~200 OTP/mois pour authentification</t>
  </si>
  <si>
    <t>Email transactionnel</t>
  </si>
  <si>
    <t>Mailgun ou similar, ~3 000 emails/mois</t>
  </si>
  <si>
    <t>Monitoring externe</t>
  </si>
  <si>
    <t>UptimeRobot Free + Healthchecks.io Free</t>
  </si>
  <si>
    <t>Tarif à confirmer auprès d'AXIAN — placeholder</t>
  </si>
  <si>
    <t>Tuiles cartographiques (V2)</t>
  </si>
  <si>
    <t>OpenStreetMap gratuit ou MapTiler basic</t>
  </si>
  <si>
    <t>Badges NFC (V2)</t>
  </si>
  <si>
    <t>Coût unique, ~0,50 USD/badge × 1 000 = 500 USD one-shot</t>
  </si>
  <si>
    <t>Sous-total infra + ops récurrent (USD)</t>
  </si>
  <si>
    <t>Option : maintenance évolutive post-hypercare</t>
  </si>
  <si>
    <t>Forfait 1 j/mois</t>
  </si>
  <si>
    <t>Évolutions légères, support niveau 2</t>
  </si>
  <si>
    <t>Notes importantes</t>
  </si>
  <si>
    <t>• L'API biométrique AXIAN est un placeholder. Tarif à confirmer (peut être nul en interne groupe ou tarifé par requête).</t>
  </si>
  <si>
    <t>• Les badges NFC sont un coût unique en V2 — pas mensuel. À acheter en amont, environ 0,50 USD par badge.</t>
  </si>
  <si>
    <t>• Les frais MVola (commissions de transfert) sont supportés par ALTERRA dans le cadre de ses opérations courantes — non comptés ici.</t>
  </si>
  <si>
    <t>• Le matériel terrain (smartphones Android avec NFC obligatoire en V2) n'est pas inclus.</t>
  </si>
  <si>
    <t>• Le forfait maintenance évolutive est optionnel : il couvre évolutions légères, suivi technique, support de niveau 2 après hypercare.</t>
  </si>
  <si>
    <t>Hypothèses, périmètre, conditions de réussite</t>
  </si>
  <si>
    <t>PÉRIMÈTRE V1 (cœur)</t>
  </si>
  <si>
    <t>Sites</t>
  </si>
  <si>
    <t>5 sites ALTERRA — hiérarchie Site uniquement</t>
  </si>
  <si>
    <t>MOC</t>
  </si>
  <si>
    <t>≈ 600 actifs, jusqu'à 1 000 sur la campagne</t>
  </si>
  <si>
    <t>Utilisateurs</t>
  </si>
  <si>
    <t>1 Admin + 5 Chefs de Service + 15 Chefs d'Équipe</t>
  </si>
  <si>
    <t>Modèle pointage</t>
  </si>
  <si>
    <t>À la tâche : quantité × tarif unitaire</t>
  </si>
  <si>
    <t>Biométrie V1</t>
  </si>
  <si>
    <t>Online uniquement, via AXIAN + mock + manuel de secours</t>
  </si>
  <si>
    <t>Cycle paiement V1</t>
  </si>
  <si>
    <t>Hebdomadaire, fichier Excel MVola</t>
  </si>
  <si>
    <t>PÉRIMÈTRE V2 (extensions terrain)</t>
  </si>
  <si>
    <t>Hiérarchie géographique</t>
  </si>
  <si>
    <t>Site → Zone → Parcelle (3 niveaux)</t>
  </si>
  <si>
    <t>NFC</t>
  </si>
  <si>
    <t>Pointage de présence par scan badge NFC sur smartphone</t>
  </si>
  <si>
    <t>Biométrie offline</t>
  </si>
  <si>
    <t>Cache local chiffré + face matching embarqué</t>
  </si>
  <si>
    <t>Composition équipes</t>
  </si>
  <si>
    <t>PWA Chef de Service crée/modifie équipes</t>
  </si>
  <si>
    <t>Gestion équipe locale</t>
  </si>
  <si>
    <t>PWA Chef d'Équipe ajoute/retire membres depuis base</t>
  </si>
  <si>
    <t>Workflows demandes</t>
  </si>
  <si>
    <t>Précisions / Activité / MOC entre rôles</t>
  </si>
  <si>
    <t>Cartographie</t>
  </si>
  <si>
    <t>Carte Leaflet côté Admin</t>
  </si>
  <si>
    <t>Cycle paiement V2</t>
  </si>
  <si>
    <t>Hebdomadaire OU quotidien (choix opérationnel)</t>
  </si>
  <si>
    <t>STACK TECHNIQUE</t>
  </si>
  <si>
    <t>Backend</t>
  </si>
  <si>
    <t>NestJS + Prisma + PostgreSQL 16</t>
  </si>
  <si>
    <t>Frontend Admin</t>
  </si>
  <si>
    <t>React 18 + Vite + TypeScript + shadcn/ui + Leaflet (V2)</t>
  </si>
  <si>
    <t>Frontend PWA</t>
  </si>
  <si>
    <t>React 18 + Vite + vite-plugin-pwa + Dexie.js + Web NFC API (V2)</t>
  </si>
  <si>
    <t>Biométrie PWA</t>
  </si>
  <si>
    <t>face-api.js ou équivalent embarqué léger (V2)</t>
  </si>
  <si>
    <t>Hébergement</t>
  </si>
  <si>
    <t>VPS Linux dédié à ALTERRA, Docker Compose</t>
  </si>
  <si>
    <t>INCLUS DANS CHIFFRAGE V1+V2</t>
  </si>
  <si>
    <t>Cadrage</t>
  </si>
  <si>
    <t>Atelier métier, spec, maquettes Figma (V1 et V2)</t>
  </si>
  <si>
    <t>API REST complète, modèle de données, auth, audit log</t>
  </si>
  <si>
    <t>Web App complète (V1) + cartographie + validation demandes (V2)</t>
  </si>
  <si>
    <t>PWA Terrain</t>
  </si>
  <si>
    <t>Modes Chef d'Équipe et Chef de Service avec offline-first</t>
  </si>
  <si>
    <t>Modules</t>
  </si>
  <si>
    <t>Excel MVola, PDF rapports/factures, biométrie adapter, NFC, workflows</t>
  </si>
  <si>
    <t>Migration</t>
  </si>
  <si>
    <t>Import des données initiales au format Excel propre</t>
  </si>
  <si>
    <t>Recette</t>
  </si>
  <si>
    <t>Tests bout en bout V1 et V2 + corrections</t>
  </si>
  <si>
    <t>Formation</t>
  </si>
  <si>
    <t>Admin + Chefs (V1 puis V2 si signée)</t>
  </si>
  <si>
    <t>Hypercare</t>
  </si>
  <si>
    <t>3 semaines après V1 + 2 semaines après V2</t>
  </si>
  <si>
    <t>NON INCLUS</t>
  </si>
  <si>
    <t>Charges récurrentes</t>
  </si>
  <si>
    <t>VPS, services tiers (cf. onglet Charges complémentaires)</t>
  </si>
  <si>
    <t>Stabilisation AXIAN finale</t>
  </si>
  <si>
    <t>3-5 j en sus si API livrée après V2</t>
  </si>
  <si>
    <t>Module MVola par API</t>
  </si>
  <si>
    <t>Au-delà de l'Excel, toute intégration MVola par API à chiffrer</t>
  </si>
  <si>
    <t>Maintenance long terme</t>
  </si>
  <si>
    <t>Forfait mensuel post-hypercare à chiffrer séparément</t>
  </si>
  <si>
    <t>Matériel et data</t>
  </si>
  <si>
    <t>Smartphones Android NFC, badges NFC, forfaits data</t>
  </si>
  <si>
    <t>Analyse RGPD V2</t>
  </si>
  <si>
    <t>Analyse juridique sur stockage biométrique local (option recommandée)</t>
  </si>
  <si>
    <t>CONDITIONS DE RÉUSSITE</t>
  </si>
  <si>
    <t>Référent métier</t>
  </si>
  <si>
    <t>0,5 j/semaine côté ALTERRA pendant V1 et V2</t>
  </si>
  <si>
    <t>Données initiales</t>
  </si>
  <si>
    <t>Excel propre fourni en début phase 7 de V1</t>
  </si>
  <si>
    <t>API AXIAN</t>
  </si>
  <si>
    <t>Engagement obtenu avant phase biométrique V1, ou décision mode manuel</t>
  </si>
  <si>
    <t>VPS</t>
  </si>
  <si>
    <t>Provisionné en début phase 7 de V1</t>
  </si>
  <si>
    <t>Recette V1</t>
  </si>
  <si>
    <t>Sous 5 j ouvrés après livraison phase 8</t>
  </si>
  <si>
    <t>Flotte Android NFC</t>
  </si>
  <si>
    <t>Validée avant démarrage V2</t>
  </si>
  <si>
    <t>Badges NFC</t>
  </si>
  <si>
    <t>Fournis à ALTERRA avant déploiement V2</t>
  </si>
  <si>
    <t>Format MVola</t>
  </si>
  <si>
    <t>Échantillon obtenu en phase 1 de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</si>
</sst>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&quot; j&quot;"/>
    <numFmt numFmtId="165" formatCode="0.0%"/>
    <numFmt numFmtId="166" formatCode="#,##0;[Red]\-#,##0;\-"/>
    <numFmt numFmtId="167" formatCode="\$#,##0"/>
    <numFmt numFmtId="168" formatCode="#,##0&quot; Ar&quot;"/>
  </numFmts>
  <fonts count="25" x14ac:knownFonts="1">
    <font>
      <sz val="11"/>
      <color theme="1"/>
      <name val="Calibri"/>
      <family val="2"/>
      <charset val="1"/>
    </font>
    <font>
      <b/>
      <sz val="18"/>
      <color rgb="FF1F3A5F"/>
      <name val="Arial"/>
      <charset val="1"/>
    </font>
    <font>
      <i/>
      <sz val="10"/>
      <color rgb="FF595959"/>
      <name val="Arial"/>
      <charset val="1"/>
    </font>
    <font>
      <b/>
      <sz val="10"/>
      <color rgb="FF595959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b/>
      <sz val="12"/>
      <color rgb="FF0070C0"/>
      <name val="Arial"/>
      <charset val="1"/>
    </font>
    <font>
      <b/>
      <sz val="11"/>
      <color rgb="FFFFFFFF"/>
      <name val="Arial"/>
      <charset val="1"/>
    </font>
    <font>
      <b/>
      <sz val="11"/>
      <color rgb="FF1F1F1F"/>
      <name val="Arial"/>
      <charset val="1"/>
    </font>
    <font>
      <sz val="11"/>
      <color rgb="FF0070C0"/>
      <name val="Arial"/>
      <charset val="1"/>
    </font>
    <font>
      <sz val="11"/>
      <name val="Arial"/>
      <charset val="1"/>
    </font>
    <font>
      <i/>
      <sz val="11"/>
      <color rgb="FF1F1F1F"/>
      <name val="Arial"/>
      <charset val="1"/>
    </font>
    <font>
      <i/>
      <sz val="11"/>
      <color rgb="FF0070C0"/>
      <name val="Arial"/>
      <charset val="1"/>
    </font>
    <font>
      <i/>
      <sz val="11"/>
      <name val="Arial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6"/>
      <color rgb="FF1F3A5F"/>
      <name val="Arial"/>
      <charset val="1"/>
    </font>
    <font>
      <sz val="11"/>
      <color rgb="FF595959"/>
      <name val="Arial"/>
      <charset val="1"/>
    </font>
    <font>
      <sz val="11"/>
      <color rgb="FF1F1F1F"/>
      <name val="Arial"/>
      <charset val="1"/>
    </font>
    <font>
      <sz val="11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11"/>
      <color rgb="FF008000"/>
      <name val="Arial"/>
      <charset val="1"/>
    </font>
    <font>
      <sz val="10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2F2F2"/>
        <bgColor rgb="FFFDF4D6"/>
      </patternFill>
    </fill>
    <fill>
      <patternFill patternType="solid">
        <fgColor rgb="FFFFFF00"/>
        <bgColor rgb="FFFFFF00"/>
      </patternFill>
    </fill>
    <fill>
      <patternFill patternType="solid">
        <fgColor rgb="FF5B7CB8"/>
        <bgColor rgb="FF3366FF"/>
      </patternFill>
    </fill>
    <fill>
      <patternFill patternType="solid">
        <fgColor rgb="FFC9D6EB"/>
        <bgColor rgb="FFBFBFBF"/>
      </patternFill>
    </fill>
    <fill>
      <patternFill patternType="solid">
        <fgColor rgb="FFFDF4D6"/>
        <bgColor rgb="FFF2F2F2"/>
      </patternFill>
    </fill>
    <fill>
      <patternFill patternType="solid">
        <fgColor rgb="FFB85B5B"/>
        <bgColor rgb="FF993366"/>
      </patternFill>
    </fill>
    <fill>
      <patternFill patternType="solid">
        <fgColor rgb="FFEBC9C9"/>
        <bgColor rgb="FFC9D6EB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A5F"/>
      </top>
      <bottom style="medium">
        <color rgb="FF1F3A5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8" fillId="8" borderId="2" xfId="0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left" vertical="center"/>
    </xf>
    <xf numFmtId="0" fontId="17" fillId="0" borderId="0" xfId="0" applyFont="1" applyBorder="1"/>
    <xf numFmtId="0" fontId="11" fillId="0" borderId="1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vertical="center" indent="1"/>
    </xf>
    <xf numFmtId="0" fontId="16" fillId="0" borderId="0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3" fontId="7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4" fillId="0" borderId="0" xfId="0" applyFont="1"/>
    <xf numFmtId="0" fontId="6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indent="1"/>
    </xf>
    <xf numFmtId="0" fontId="8" fillId="2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right" vertical="center" indent="1"/>
    </xf>
    <xf numFmtId="0" fontId="12" fillId="7" borderId="2" xfId="0" applyFont="1" applyFill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0" fillId="7" borderId="2" xfId="0" applyFill="1" applyBorder="1"/>
    <xf numFmtId="166" fontId="14" fillId="7" borderId="2" xfId="0" applyNumberFormat="1" applyFont="1" applyFill="1" applyBorder="1" applyAlignment="1">
      <alignment horizontal="right" vertical="center" indent="1"/>
    </xf>
    <xf numFmtId="0" fontId="5" fillId="5" borderId="2" xfId="0" applyFont="1" applyFill="1" applyBorder="1" applyAlignment="1">
      <alignment horizontal="right" vertical="center" wrapText="1"/>
    </xf>
    <xf numFmtId="164" fontId="5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166" fontId="5" fillId="5" borderId="2" xfId="0" applyNumberFormat="1" applyFont="1" applyFill="1" applyBorder="1" applyAlignment="1">
      <alignment horizontal="right" vertical="center" indent="1"/>
    </xf>
    <xf numFmtId="0" fontId="9" fillId="9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right" vertical="center" wrapText="1"/>
    </xf>
    <xf numFmtId="164" fontId="5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/>
    <xf numFmtId="166" fontId="5" fillId="8" borderId="2" xfId="0" applyNumberFormat="1" applyFont="1" applyFill="1" applyBorder="1" applyAlignment="1">
      <alignment horizontal="right" vertical="center" indent="1"/>
    </xf>
    <xf numFmtId="0" fontId="15" fillId="2" borderId="2" xfId="0" applyFont="1" applyFill="1" applyBorder="1" applyAlignment="1">
      <alignment horizontal="right" vertical="center" wrapText="1"/>
    </xf>
    <xf numFmtId="164" fontId="15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166" fontId="15" fillId="2" borderId="2" xfId="0" applyNumberFormat="1" applyFont="1" applyFill="1" applyBorder="1" applyAlignment="1">
      <alignment horizontal="right" vertical="center" indent="1"/>
    </xf>
    <xf numFmtId="0" fontId="6" fillId="3" borderId="2" xfId="0" applyFont="1" applyFill="1" applyBorder="1" applyAlignment="1">
      <alignment horizontal="left" indent="1"/>
    </xf>
    <xf numFmtId="164" fontId="6" fillId="6" borderId="2" xfId="0" applyNumberFormat="1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right" vertical="center" inden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166" fontId="20" fillId="0" borderId="2" xfId="0" applyNumberFormat="1" applyFont="1" applyBorder="1" applyAlignment="1">
      <alignment horizontal="right" vertical="center" indent="1"/>
    </xf>
    <xf numFmtId="0" fontId="8" fillId="5" borderId="2" xfId="0" applyFont="1" applyFill="1" applyBorder="1" applyAlignment="1">
      <alignment horizontal="right" vertical="center" wrapText="1"/>
    </xf>
    <xf numFmtId="164" fontId="6" fillId="9" borderId="2" xfId="0" applyNumberFormat="1" applyFont="1" applyFill="1" applyBorder="1" applyAlignment="1">
      <alignment horizontal="center" vertical="center"/>
    </xf>
    <xf numFmtId="166" fontId="6" fillId="9" borderId="2" xfId="0" applyNumberFormat="1" applyFont="1" applyFill="1" applyBorder="1" applyAlignment="1">
      <alignment horizontal="right" vertical="center" indent="1"/>
    </xf>
    <xf numFmtId="0" fontId="8" fillId="8" borderId="2" xfId="0" applyFont="1" applyFill="1" applyBorder="1" applyAlignment="1">
      <alignment horizontal="right" vertical="center" wrapText="1"/>
    </xf>
    <xf numFmtId="0" fontId="0" fillId="0" borderId="2" xfId="0" applyBorder="1"/>
    <xf numFmtId="164" fontId="8" fillId="5" borderId="2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167" fontId="10" fillId="0" borderId="2" xfId="0" applyNumberFormat="1" applyFont="1" applyBorder="1" applyAlignment="1">
      <alignment horizontal="right" vertical="center" wrapText="1"/>
    </xf>
    <xf numFmtId="167" fontId="11" fillId="0" borderId="2" xfId="0" applyNumberFormat="1" applyFont="1" applyBorder="1" applyAlignment="1">
      <alignment horizontal="right" vertical="center" indent="1"/>
    </xf>
    <xf numFmtId="167" fontId="8" fillId="2" borderId="2" xfId="0" applyNumberFormat="1" applyFont="1" applyFill="1" applyBorder="1" applyAlignment="1">
      <alignment horizontal="right" vertical="center" indent="1"/>
    </xf>
    <xf numFmtId="0" fontId="6" fillId="7" borderId="2" xfId="0" applyFont="1" applyFill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168" fontId="23" fillId="0" borderId="2" xfId="0" applyNumberFormat="1" applyFont="1" applyBorder="1" applyAlignment="1">
      <alignment horizontal="right" vertical="center" indent="1"/>
    </xf>
    <xf numFmtId="0" fontId="22" fillId="3" borderId="2" xfId="0" applyFont="1" applyFill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 indent="1"/>
    </xf>
    <xf numFmtId="0" fontId="21" fillId="2" borderId="1" xfId="0" applyFont="1" applyFill="1" applyBorder="1" applyAlignment="1">
      <alignment horizontal="left" indent="1"/>
    </xf>
    <xf numFmtId="0" fontId="22" fillId="3" borderId="1" xfId="0" applyFont="1" applyFill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22" fillId="9" borderId="1" xfId="0" applyFont="1" applyFill="1" applyBorder="1" applyAlignment="1">
      <alignment horizontal="left" indent="1"/>
    </xf>
    <xf numFmtId="0" fontId="8" fillId="5" borderId="0" xfId="0" applyFont="1" applyFill="1" applyBorder="1" applyAlignment="1">
      <alignment horizontal="left" vertical="center" indent="1"/>
    </xf>
    <xf numFmtId="0" fontId="8" fillId="8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right" vertical="center" wrapText="1"/>
    </xf>
    <xf numFmtId="0" fontId="24" fillId="0" borderId="0" xfId="0" applyFont="1" applyBorder="1" applyAlignment="1">
      <alignment horizontal="left" vertical="top" wrapText="1" indent="1"/>
    </xf>
    <xf numFmtId="0" fontId="8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B85B5B"/>
      <rgbColor rgb="FFFDF4D6"/>
      <rgbColor rgb="FFF2F2F2"/>
      <rgbColor rgb="FF660066"/>
      <rgbColor rgb="FFFF8080"/>
      <rgbColor rgb="FF0070C0"/>
      <rgbColor rgb="FFC9D6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BC9C9"/>
      <rgbColor rgb="FF3366FF"/>
      <rgbColor rgb="FF33CCCC"/>
      <rgbColor rgb="FF99CC00"/>
      <rgbColor rgb="FFFFCC00"/>
      <rgbColor rgb="FFFF9900"/>
      <rgbColor rgb="FFFF6600"/>
      <rgbColor rgb="FF5B7CB8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9"/>
  <sheetViews>
    <sheetView zoomScaleNormal="100" workbookViewId="0">
      <pane ySplit="3" topLeftCell="A14" activePane="bottomLeft" state="frozen"/>
      <selection pane="bottomLeft"/>
    </sheetView>
  </sheetViews>
  <sheetFormatPr baseColWidth="10" defaultColWidth="8.6640625" defaultRowHeight="14.4" x14ac:dyDescent="0.3"/>
  <cols>
    <col min="1" max="1" width="4" customWidth="1"/>
    <col min="2" max="2" width="40" customWidth="1"/>
    <col min="3" max="4" width="14" customWidth="1"/>
    <col min="5" max="5" width="18" customWidth="1"/>
  </cols>
  <sheetData>
    <row r="2" spans="2:5" ht="27.75" customHeight="1" x14ac:dyDescent="0.4">
      <c r="B2" s="14" t="s">
        <v>0</v>
      </c>
      <c r="C2" s="14"/>
      <c r="D2" s="14"/>
      <c r="E2" s="14"/>
    </row>
    <row r="3" spans="2:5" x14ac:dyDescent="0.3">
      <c r="B3" s="13" t="s">
        <v>1</v>
      </c>
      <c r="C3" s="13"/>
      <c r="D3" s="13"/>
      <c r="E3" s="13"/>
    </row>
    <row r="5" spans="2:5" x14ac:dyDescent="0.3">
      <c r="B5" s="15" t="s">
        <v>2</v>
      </c>
      <c r="C5" s="16" t="s">
        <v>3</v>
      </c>
    </row>
    <row r="6" spans="2:5" x14ac:dyDescent="0.3">
      <c r="B6" s="15" t="s">
        <v>4</v>
      </c>
      <c r="C6" s="16" t="s">
        <v>5</v>
      </c>
    </row>
    <row r="7" spans="2:5" x14ac:dyDescent="0.3">
      <c r="B7" s="15" t="s">
        <v>6</v>
      </c>
      <c r="C7" s="16" t="s">
        <v>7</v>
      </c>
    </row>
    <row r="9" spans="2:5" ht="21.75" customHeight="1" x14ac:dyDescent="0.3">
      <c r="B9" s="12" t="s">
        <v>8</v>
      </c>
      <c r="C9" s="12"/>
      <c r="D9" s="12"/>
      <c r="E9" s="12"/>
    </row>
    <row r="10" spans="2:5" ht="15.6" x14ac:dyDescent="0.3">
      <c r="B10" s="17" t="s">
        <v>9</v>
      </c>
      <c r="C10" s="11">
        <v>0</v>
      </c>
      <c r="D10" s="11"/>
      <c r="E10" s="18" t="s">
        <v>10</v>
      </c>
    </row>
    <row r="12" spans="2:5" ht="21.75" customHeight="1" x14ac:dyDescent="0.3">
      <c r="B12" s="10" t="s">
        <v>11</v>
      </c>
      <c r="C12" s="10"/>
      <c r="D12" s="10"/>
      <c r="E12" s="10"/>
    </row>
    <row r="13" spans="2:5" ht="27.75" customHeight="1" x14ac:dyDescent="0.3">
      <c r="B13" s="19" t="s">
        <v>12</v>
      </c>
      <c r="C13" s="19" t="s">
        <v>13</v>
      </c>
      <c r="D13" s="19" t="s">
        <v>14</v>
      </c>
      <c r="E13" s="19" t="s">
        <v>15</v>
      </c>
    </row>
    <row r="14" spans="2:5" x14ac:dyDescent="0.3">
      <c r="B14" s="20" t="s">
        <v>16</v>
      </c>
      <c r="C14" s="21">
        <v>4</v>
      </c>
      <c r="D14" s="22">
        <f t="shared" ref="D14:D23" si="0">C14/$C$25</f>
        <v>0.08</v>
      </c>
      <c r="E14" s="23">
        <f t="shared" ref="E14:E25" si="1">C14*$C$10</f>
        <v>0</v>
      </c>
    </row>
    <row r="15" spans="2:5" x14ac:dyDescent="0.3">
      <c r="B15" s="20" t="s">
        <v>17</v>
      </c>
      <c r="C15" s="21">
        <v>4</v>
      </c>
      <c r="D15" s="22">
        <f t="shared" si="0"/>
        <v>0.08</v>
      </c>
      <c r="E15" s="23">
        <f t="shared" si="1"/>
        <v>0</v>
      </c>
    </row>
    <row r="16" spans="2:5" x14ac:dyDescent="0.3">
      <c r="B16" s="20" t="s">
        <v>18</v>
      </c>
      <c r="C16" s="21">
        <v>6</v>
      </c>
      <c r="D16" s="22">
        <f t="shared" si="0"/>
        <v>0.12</v>
      </c>
      <c r="E16" s="23">
        <f t="shared" si="1"/>
        <v>0</v>
      </c>
    </row>
    <row r="17" spans="2:5" x14ac:dyDescent="0.3">
      <c r="B17" s="20" t="s">
        <v>19</v>
      </c>
      <c r="C17" s="21">
        <v>7</v>
      </c>
      <c r="D17" s="22">
        <f t="shared" si="0"/>
        <v>0.14000000000000001</v>
      </c>
      <c r="E17" s="23">
        <f t="shared" si="1"/>
        <v>0</v>
      </c>
    </row>
    <row r="18" spans="2:5" ht="27.6" x14ac:dyDescent="0.3">
      <c r="B18" s="20" t="s">
        <v>20</v>
      </c>
      <c r="C18" s="21">
        <v>8</v>
      </c>
      <c r="D18" s="22">
        <f t="shared" si="0"/>
        <v>0.16</v>
      </c>
      <c r="E18" s="23">
        <f t="shared" si="1"/>
        <v>0</v>
      </c>
    </row>
    <row r="19" spans="2:5" x14ac:dyDescent="0.3">
      <c r="B19" s="20" t="s">
        <v>21</v>
      </c>
      <c r="C19" s="21">
        <v>4</v>
      </c>
      <c r="D19" s="22">
        <f t="shared" si="0"/>
        <v>0.08</v>
      </c>
      <c r="E19" s="23">
        <f t="shared" si="1"/>
        <v>0</v>
      </c>
    </row>
    <row r="20" spans="2:5" x14ac:dyDescent="0.3">
      <c r="B20" s="20" t="s">
        <v>22</v>
      </c>
      <c r="C20" s="21">
        <v>2</v>
      </c>
      <c r="D20" s="22">
        <f t="shared" si="0"/>
        <v>0.04</v>
      </c>
      <c r="E20" s="23">
        <f t="shared" si="1"/>
        <v>0</v>
      </c>
    </row>
    <row r="21" spans="2:5" x14ac:dyDescent="0.3">
      <c r="B21" s="20" t="s">
        <v>23</v>
      </c>
      <c r="C21" s="21">
        <v>4</v>
      </c>
      <c r="D21" s="22">
        <f t="shared" si="0"/>
        <v>0.08</v>
      </c>
      <c r="E21" s="23">
        <f t="shared" si="1"/>
        <v>0</v>
      </c>
    </row>
    <row r="22" spans="2:5" x14ac:dyDescent="0.3">
      <c r="B22" s="20" t="s">
        <v>24</v>
      </c>
      <c r="C22" s="21">
        <v>2</v>
      </c>
      <c r="D22" s="22">
        <f t="shared" si="0"/>
        <v>0.04</v>
      </c>
      <c r="E22" s="23">
        <f t="shared" si="1"/>
        <v>0</v>
      </c>
    </row>
    <row r="23" spans="2:5" x14ac:dyDescent="0.3">
      <c r="B23" s="20" t="s">
        <v>25</v>
      </c>
      <c r="C23" s="21">
        <v>3</v>
      </c>
      <c r="D23" s="22">
        <f t="shared" si="0"/>
        <v>0.06</v>
      </c>
      <c r="E23" s="23">
        <f t="shared" si="1"/>
        <v>0</v>
      </c>
    </row>
    <row r="24" spans="2:5" ht="28.8" x14ac:dyDescent="0.3">
      <c r="B24" s="24" t="s">
        <v>26</v>
      </c>
      <c r="C24" s="25">
        <v>6</v>
      </c>
      <c r="D24" s="26"/>
      <c r="E24" s="27">
        <f t="shared" si="1"/>
        <v>0</v>
      </c>
    </row>
    <row r="25" spans="2:5" ht="15.6" x14ac:dyDescent="0.3">
      <c r="B25" s="28" t="s">
        <v>27</v>
      </c>
      <c r="C25" s="29">
        <f>SUM(C14:C24)</f>
        <v>50</v>
      </c>
      <c r="D25" s="30"/>
      <c r="E25" s="31">
        <f t="shared" si="1"/>
        <v>0</v>
      </c>
    </row>
    <row r="27" spans="2:5" ht="21.75" customHeight="1" x14ac:dyDescent="0.3">
      <c r="B27" s="9" t="s">
        <v>28</v>
      </c>
      <c r="C27" s="9"/>
      <c r="D27" s="9"/>
      <c r="E27" s="9"/>
    </row>
    <row r="28" spans="2:5" ht="27.75" customHeight="1" x14ac:dyDescent="0.3">
      <c r="B28" s="19" t="s">
        <v>12</v>
      </c>
      <c r="C28" s="19" t="s">
        <v>13</v>
      </c>
      <c r="D28" s="19" t="s">
        <v>29</v>
      </c>
      <c r="E28" s="19" t="s">
        <v>15</v>
      </c>
    </row>
    <row r="29" spans="2:5" x14ac:dyDescent="0.3">
      <c r="B29" s="32" t="s">
        <v>30</v>
      </c>
      <c r="C29" s="21">
        <v>1.5</v>
      </c>
      <c r="D29" s="22">
        <f t="shared" ref="D29:D37" si="2">C29/$C$39</f>
        <v>7.1428571428571425E-2</v>
      </c>
      <c r="E29" s="23">
        <f t="shared" ref="E29:E39" si="3">C29*$C$10</f>
        <v>0</v>
      </c>
    </row>
    <row r="30" spans="2:5" x14ac:dyDescent="0.3">
      <c r="B30" s="32" t="s">
        <v>31</v>
      </c>
      <c r="C30" s="21">
        <v>2</v>
      </c>
      <c r="D30" s="22">
        <f t="shared" si="2"/>
        <v>9.5238095238095233E-2</v>
      </c>
      <c r="E30" s="23">
        <f t="shared" si="3"/>
        <v>0</v>
      </c>
    </row>
    <row r="31" spans="2:5" x14ac:dyDescent="0.3">
      <c r="B31" s="32" t="s">
        <v>32</v>
      </c>
      <c r="C31" s="21">
        <v>2.5</v>
      </c>
      <c r="D31" s="22">
        <f t="shared" si="2"/>
        <v>0.11904761904761904</v>
      </c>
      <c r="E31" s="23">
        <f t="shared" si="3"/>
        <v>0</v>
      </c>
    </row>
    <row r="32" spans="2:5" x14ac:dyDescent="0.3">
      <c r="B32" s="32" t="s">
        <v>33</v>
      </c>
      <c r="C32" s="21">
        <v>2.5</v>
      </c>
      <c r="D32" s="22">
        <f t="shared" si="2"/>
        <v>0.11904761904761904</v>
      </c>
      <c r="E32" s="23">
        <f t="shared" si="3"/>
        <v>0</v>
      </c>
    </row>
    <row r="33" spans="2:5" x14ac:dyDescent="0.3">
      <c r="B33" s="32" t="s">
        <v>34</v>
      </c>
      <c r="C33" s="21">
        <v>3</v>
      </c>
      <c r="D33" s="22">
        <f t="shared" si="2"/>
        <v>0.14285714285714285</v>
      </c>
      <c r="E33" s="23">
        <f t="shared" si="3"/>
        <v>0</v>
      </c>
    </row>
    <row r="34" spans="2:5" x14ac:dyDescent="0.3">
      <c r="B34" s="32" t="s">
        <v>35</v>
      </c>
      <c r="C34" s="21">
        <v>3</v>
      </c>
      <c r="D34" s="22">
        <f t="shared" si="2"/>
        <v>0.14285714285714285</v>
      </c>
      <c r="E34" s="23">
        <f t="shared" si="3"/>
        <v>0</v>
      </c>
    </row>
    <row r="35" spans="2:5" x14ac:dyDescent="0.3">
      <c r="B35" s="32" t="s">
        <v>36</v>
      </c>
      <c r="C35" s="21">
        <v>1.5</v>
      </c>
      <c r="D35" s="22">
        <f t="shared" si="2"/>
        <v>7.1428571428571425E-2</v>
      </c>
      <c r="E35" s="23">
        <f t="shared" si="3"/>
        <v>0</v>
      </c>
    </row>
    <row r="36" spans="2:5" x14ac:dyDescent="0.3">
      <c r="B36" s="32" t="s">
        <v>37</v>
      </c>
      <c r="C36" s="21">
        <v>1</v>
      </c>
      <c r="D36" s="22">
        <f t="shared" si="2"/>
        <v>4.7619047619047616E-2</v>
      </c>
      <c r="E36" s="23">
        <f t="shared" si="3"/>
        <v>0</v>
      </c>
    </row>
    <row r="37" spans="2:5" x14ac:dyDescent="0.3">
      <c r="B37" s="32" t="s">
        <v>38</v>
      </c>
      <c r="C37" s="21">
        <v>2.5</v>
      </c>
      <c r="D37" s="22">
        <f t="shared" si="2"/>
        <v>0.11904761904761904</v>
      </c>
      <c r="E37" s="23">
        <f t="shared" si="3"/>
        <v>0</v>
      </c>
    </row>
    <row r="38" spans="2:5" x14ac:dyDescent="0.3">
      <c r="B38" s="24" t="s">
        <v>39</v>
      </c>
      <c r="C38" s="25">
        <v>1.5</v>
      </c>
      <c r="D38" s="26"/>
      <c r="E38" s="27">
        <f t="shared" si="3"/>
        <v>0</v>
      </c>
    </row>
    <row r="39" spans="2:5" ht="15.6" x14ac:dyDescent="0.3">
      <c r="B39" s="33" t="s">
        <v>40</v>
      </c>
      <c r="C39" s="34">
        <f>SUM(C29:C38)</f>
        <v>21</v>
      </c>
      <c r="D39" s="35"/>
      <c r="E39" s="36">
        <f t="shared" si="3"/>
        <v>0</v>
      </c>
    </row>
    <row r="41" spans="2:5" ht="16.8" x14ac:dyDescent="0.3">
      <c r="B41" s="37" t="s">
        <v>41</v>
      </c>
      <c r="C41" s="38">
        <f>C25+C39</f>
        <v>71</v>
      </c>
      <c r="D41" s="39"/>
      <c r="E41" s="40">
        <f>C41*$C$10</f>
        <v>0</v>
      </c>
    </row>
    <row r="43" spans="2:5" ht="48" customHeight="1" x14ac:dyDescent="0.3">
      <c r="B43" s="8" t="s">
        <v>42</v>
      </c>
      <c r="C43" s="8"/>
      <c r="D43" s="8"/>
      <c r="E43" s="8"/>
    </row>
    <row r="45" spans="2:5" ht="21.75" customHeight="1" x14ac:dyDescent="0.3">
      <c r="B45" s="7" t="s">
        <v>43</v>
      </c>
      <c r="C45" s="7"/>
      <c r="D45" s="7"/>
      <c r="E45" s="7"/>
    </row>
    <row r="46" spans="2:5" x14ac:dyDescent="0.3">
      <c r="B46" s="41" t="s">
        <v>44</v>
      </c>
      <c r="C46" s="6" t="s">
        <v>45</v>
      </c>
      <c r="D46" s="6"/>
      <c r="E46" s="6"/>
    </row>
    <row r="47" spans="2:5" x14ac:dyDescent="0.3">
      <c r="B47" s="41" t="s">
        <v>46</v>
      </c>
      <c r="C47" s="6" t="s">
        <v>47</v>
      </c>
      <c r="D47" s="6"/>
      <c r="E47" s="6"/>
    </row>
    <row r="48" spans="2:5" x14ac:dyDescent="0.3">
      <c r="B48" s="41" t="s">
        <v>48</v>
      </c>
      <c r="C48" s="6" t="s">
        <v>49</v>
      </c>
      <c r="D48" s="6"/>
      <c r="E48" s="6"/>
    </row>
    <row r="49" spans="2:5" x14ac:dyDescent="0.3">
      <c r="B49" s="41" t="s">
        <v>50</v>
      </c>
      <c r="C49" s="6" t="s">
        <v>51</v>
      </c>
      <c r="D49" s="6"/>
      <c r="E49" s="6"/>
    </row>
  </sheetData>
  <mergeCells count="12">
    <mergeCell ref="C48:E48"/>
    <mergeCell ref="C49:E49"/>
    <mergeCell ref="B27:E27"/>
    <mergeCell ref="B43:E43"/>
    <mergeCell ref="B45:E45"/>
    <mergeCell ref="C46:E46"/>
    <mergeCell ref="C47:E47"/>
    <mergeCell ref="B2:E2"/>
    <mergeCell ref="B3:E3"/>
    <mergeCell ref="B9:E9"/>
    <mergeCell ref="C10:D10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8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4" customWidth="1"/>
    <col min="2" max="2" width="8" customWidth="1"/>
    <col min="3" max="3" width="60" customWidth="1"/>
    <col min="4" max="4" width="14" customWidth="1"/>
    <col min="5" max="5" width="18" customWidth="1"/>
  </cols>
  <sheetData>
    <row r="2" spans="2:5" ht="24" customHeight="1" x14ac:dyDescent="0.4">
      <c r="B2" s="5" t="s">
        <v>52</v>
      </c>
      <c r="C2" s="5"/>
      <c r="D2" s="5"/>
      <c r="E2" s="5"/>
    </row>
    <row r="3" spans="2:5" x14ac:dyDescent="0.3">
      <c r="B3" s="13" t="s">
        <v>53</v>
      </c>
      <c r="C3" s="13"/>
      <c r="D3" s="13"/>
      <c r="E3" s="13"/>
    </row>
    <row r="5" spans="2:5" ht="27.75" customHeight="1" x14ac:dyDescent="0.3">
      <c r="B5" s="19" t="s">
        <v>54</v>
      </c>
      <c r="C5" s="19" t="s">
        <v>55</v>
      </c>
      <c r="D5" s="19" t="s">
        <v>13</v>
      </c>
      <c r="E5" s="19" t="s">
        <v>56</v>
      </c>
    </row>
    <row r="6" spans="2:5" x14ac:dyDescent="0.3">
      <c r="B6" s="4" t="s">
        <v>16</v>
      </c>
      <c r="C6" s="4"/>
      <c r="D6" s="42">
        <f>SUM(D7:D9)</f>
        <v>4</v>
      </c>
      <c r="E6" s="43">
        <f>D6*Synthèse!$C$10</f>
        <v>0</v>
      </c>
    </row>
    <row r="7" spans="2:5" ht="27.6" x14ac:dyDescent="0.3">
      <c r="B7" s="44" t="s">
        <v>57</v>
      </c>
      <c r="C7" s="45" t="s">
        <v>58</v>
      </c>
      <c r="D7" s="21">
        <v>1.5</v>
      </c>
      <c r="E7" s="46">
        <f>D7*Synthèse!$C$10</f>
        <v>0</v>
      </c>
    </row>
    <row r="8" spans="2:5" ht="27.6" x14ac:dyDescent="0.3">
      <c r="B8" s="44" t="s">
        <v>59</v>
      </c>
      <c r="C8" s="45" t="s">
        <v>60</v>
      </c>
      <c r="D8" s="21">
        <v>1</v>
      </c>
      <c r="E8" s="46">
        <f>D8*Synthèse!$C$10</f>
        <v>0</v>
      </c>
    </row>
    <row r="9" spans="2:5" x14ac:dyDescent="0.3">
      <c r="B9" s="44" t="s">
        <v>61</v>
      </c>
      <c r="C9" s="45" t="s">
        <v>62</v>
      </c>
      <c r="D9" s="21">
        <v>1.5</v>
      </c>
      <c r="E9" s="46">
        <f>D9*Synthèse!$C$10</f>
        <v>0</v>
      </c>
    </row>
    <row r="10" spans="2:5" x14ac:dyDescent="0.3">
      <c r="B10" s="4" t="s">
        <v>17</v>
      </c>
      <c r="C10" s="4"/>
      <c r="D10" s="42">
        <f>SUM(D11:D14)</f>
        <v>4</v>
      </c>
      <c r="E10" s="43">
        <f>D10*Synthèse!$C$10</f>
        <v>0</v>
      </c>
    </row>
    <row r="11" spans="2:5" ht="27.6" x14ac:dyDescent="0.3">
      <c r="B11" s="44" t="s">
        <v>63</v>
      </c>
      <c r="C11" s="45" t="s">
        <v>64</v>
      </c>
      <c r="D11" s="21">
        <v>1</v>
      </c>
      <c r="E11" s="46">
        <f>D11*Synthèse!$C$10</f>
        <v>0</v>
      </c>
    </row>
    <row r="12" spans="2:5" x14ac:dyDescent="0.3">
      <c r="B12" s="44" t="s">
        <v>65</v>
      </c>
      <c r="C12" s="45" t="s">
        <v>66</v>
      </c>
      <c r="D12" s="21">
        <v>1</v>
      </c>
      <c r="E12" s="46">
        <f>D12*Synthèse!$C$10</f>
        <v>0</v>
      </c>
    </row>
    <row r="13" spans="2:5" x14ac:dyDescent="0.3">
      <c r="B13" s="44" t="s">
        <v>67</v>
      </c>
      <c r="C13" s="45" t="s">
        <v>68</v>
      </c>
      <c r="D13" s="21">
        <v>1.5</v>
      </c>
      <c r="E13" s="46">
        <f>D13*Synthèse!$C$10</f>
        <v>0</v>
      </c>
    </row>
    <row r="14" spans="2:5" ht="27.6" x14ac:dyDescent="0.3">
      <c r="B14" s="44" t="s">
        <v>69</v>
      </c>
      <c r="C14" s="45" t="s">
        <v>70</v>
      </c>
      <c r="D14" s="21">
        <v>0.5</v>
      </c>
      <c r="E14" s="46">
        <f>D14*Synthèse!$C$10</f>
        <v>0</v>
      </c>
    </row>
    <row r="15" spans="2:5" x14ac:dyDescent="0.3">
      <c r="B15" s="4" t="s">
        <v>18</v>
      </c>
      <c r="C15" s="4"/>
      <c r="D15" s="42">
        <f>SUM(D16:D19)</f>
        <v>6</v>
      </c>
      <c r="E15" s="43">
        <f>D15*Synthèse!$C$10</f>
        <v>0</v>
      </c>
    </row>
    <row r="16" spans="2:5" x14ac:dyDescent="0.3">
      <c r="B16" s="44" t="s">
        <v>71</v>
      </c>
      <c r="C16" s="45" t="s">
        <v>72</v>
      </c>
      <c r="D16" s="21">
        <v>1.5</v>
      </c>
      <c r="E16" s="46">
        <f>D16*Synthèse!$C$10</f>
        <v>0</v>
      </c>
    </row>
    <row r="17" spans="2:5" x14ac:dyDescent="0.3">
      <c r="B17" s="44" t="s">
        <v>73</v>
      </c>
      <c r="C17" s="45" t="s">
        <v>74</v>
      </c>
      <c r="D17" s="21">
        <v>1.5</v>
      </c>
      <c r="E17" s="46">
        <f>D17*Synthèse!$C$10</f>
        <v>0</v>
      </c>
    </row>
    <row r="18" spans="2:5" ht="27.6" x14ac:dyDescent="0.3">
      <c r="B18" s="44" t="s">
        <v>75</v>
      </c>
      <c r="C18" s="45" t="s">
        <v>76</v>
      </c>
      <c r="D18" s="21">
        <v>2</v>
      </c>
      <c r="E18" s="46">
        <f>D18*Synthèse!$C$10</f>
        <v>0</v>
      </c>
    </row>
    <row r="19" spans="2:5" ht="27.6" x14ac:dyDescent="0.3">
      <c r="B19" s="44" t="s">
        <v>77</v>
      </c>
      <c r="C19" s="45" t="s">
        <v>78</v>
      </c>
      <c r="D19" s="21">
        <v>1</v>
      </c>
      <c r="E19" s="46">
        <f>D19*Synthèse!$C$10</f>
        <v>0</v>
      </c>
    </row>
    <row r="20" spans="2:5" x14ac:dyDescent="0.3">
      <c r="B20" s="4" t="s">
        <v>19</v>
      </c>
      <c r="C20" s="4"/>
      <c r="D20" s="42">
        <f>SUM(D21:D26)</f>
        <v>7</v>
      </c>
      <c r="E20" s="43">
        <f>D20*Synthèse!$C$10</f>
        <v>0</v>
      </c>
    </row>
    <row r="21" spans="2:5" ht="27.6" x14ac:dyDescent="0.3">
      <c r="B21" s="44" t="s">
        <v>79</v>
      </c>
      <c r="C21" s="45" t="s">
        <v>80</v>
      </c>
      <c r="D21" s="21">
        <v>1</v>
      </c>
      <c r="E21" s="46">
        <f>D21*Synthèse!$C$10</f>
        <v>0</v>
      </c>
    </row>
    <row r="22" spans="2:5" x14ac:dyDescent="0.3">
      <c r="B22" s="44" t="s">
        <v>81</v>
      </c>
      <c r="C22" s="45" t="s">
        <v>82</v>
      </c>
      <c r="D22" s="21">
        <v>1</v>
      </c>
      <c r="E22" s="46">
        <f>D22*Synthèse!$C$10</f>
        <v>0</v>
      </c>
    </row>
    <row r="23" spans="2:5" x14ac:dyDescent="0.3">
      <c r="B23" s="44" t="s">
        <v>83</v>
      </c>
      <c r="C23" s="45" t="s">
        <v>84</v>
      </c>
      <c r="D23" s="21">
        <v>1.5</v>
      </c>
      <c r="E23" s="46">
        <f>D23*Synthèse!$C$10</f>
        <v>0</v>
      </c>
    </row>
    <row r="24" spans="2:5" x14ac:dyDescent="0.3">
      <c r="B24" s="44" t="s">
        <v>85</v>
      </c>
      <c r="C24" s="45" t="s">
        <v>86</v>
      </c>
      <c r="D24" s="21">
        <v>1.5</v>
      </c>
      <c r="E24" s="46">
        <f>D24*Synthèse!$C$10</f>
        <v>0</v>
      </c>
    </row>
    <row r="25" spans="2:5" ht="27.6" x14ac:dyDescent="0.3">
      <c r="B25" s="44" t="s">
        <v>87</v>
      </c>
      <c r="C25" s="45" t="s">
        <v>88</v>
      </c>
      <c r="D25" s="21">
        <v>1.5</v>
      </c>
      <c r="E25" s="46">
        <f>D25*Synthèse!$C$10</f>
        <v>0</v>
      </c>
    </row>
    <row r="26" spans="2:5" x14ac:dyDescent="0.3">
      <c r="B26" s="44" t="s">
        <v>89</v>
      </c>
      <c r="C26" s="45" t="s">
        <v>90</v>
      </c>
      <c r="D26" s="21">
        <v>0.5</v>
      </c>
      <c r="E26" s="46">
        <f>D26*Synthèse!$C$10</f>
        <v>0</v>
      </c>
    </row>
    <row r="27" spans="2:5" x14ac:dyDescent="0.3">
      <c r="B27" s="4" t="s">
        <v>20</v>
      </c>
      <c r="C27" s="4"/>
      <c r="D27" s="42">
        <f>SUM(D28:D31)</f>
        <v>8</v>
      </c>
      <c r="E27" s="43">
        <f>D27*Synthèse!$C$10</f>
        <v>0</v>
      </c>
    </row>
    <row r="28" spans="2:5" x14ac:dyDescent="0.3">
      <c r="B28" s="44" t="s">
        <v>91</v>
      </c>
      <c r="C28" s="45" t="s">
        <v>92</v>
      </c>
      <c r="D28" s="21">
        <v>1.5</v>
      </c>
      <c r="E28" s="46">
        <f>D28*Synthèse!$C$10</f>
        <v>0</v>
      </c>
    </row>
    <row r="29" spans="2:5" ht="27.6" x14ac:dyDescent="0.3">
      <c r="B29" s="44" t="s">
        <v>93</v>
      </c>
      <c r="C29" s="45" t="s">
        <v>94</v>
      </c>
      <c r="D29" s="21">
        <v>3</v>
      </c>
      <c r="E29" s="46">
        <f>D29*Synthèse!$C$10</f>
        <v>0</v>
      </c>
    </row>
    <row r="30" spans="2:5" ht="27.6" x14ac:dyDescent="0.3">
      <c r="B30" s="44" t="s">
        <v>95</v>
      </c>
      <c r="C30" s="45" t="s">
        <v>96</v>
      </c>
      <c r="D30" s="21">
        <v>1.5</v>
      </c>
      <c r="E30" s="46">
        <f>D30*Synthèse!$C$10</f>
        <v>0</v>
      </c>
    </row>
    <row r="31" spans="2:5" x14ac:dyDescent="0.3">
      <c r="B31" s="44" t="s">
        <v>97</v>
      </c>
      <c r="C31" s="45" t="s">
        <v>98</v>
      </c>
      <c r="D31" s="21">
        <v>2</v>
      </c>
      <c r="E31" s="46">
        <f>D31*Synthèse!$C$10</f>
        <v>0</v>
      </c>
    </row>
    <row r="32" spans="2:5" x14ac:dyDescent="0.3">
      <c r="B32" s="4" t="s">
        <v>21</v>
      </c>
      <c r="C32" s="4"/>
      <c r="D32" s="42">
        <f>SUM(D33:D35)</f>
        <v>4</v>
      </c>
      <c r="E32" s="43">
        <f>D32*Synthèse!$C$10</f>
        <v>0</v>
      </c>
    </row>
    <row r="33" spans="2:5" ht="27.6" x14ac:dyDescent="0.3">
      <c r="B33" s="44" t="s">
        <v>99</v>
      </c>
      <c r="C33" s="45" t="s">
        <v>100</v>
      </c>
      <c r="D33" s="21">
        <v>1</v>
      </c>
      <c r="E33" s="46">
        <f>D33*Synthèse!$C$10</f>
        <v>0</v>
      </c>
    </row>
    <row r="34" spans="2:5" x14ac:dyDescent="0.3">
      <c r="B34" s="44" t="s">
        <v>101</v>
      </c>
      <c r="C34" s="45" t="s">
        <v>102</v>
      </c>
      <c r="D34" s="21">
        <v>1</v>
      </c>
      <c r="E34" s="46">
        <f>D34*Synthèse!$C$10</f>
        <v>0</v>
      </c>
    </row>
    <row r="35" spans="2:5" ht="27.6" x14ac:dyDescent="0.3">
      <c r="B35" s="44" t="s">
        <v>103</v>
      </c>
      <c r="C35" s="45" t="s">
        <v>104</v>
      </c>
      <c r="D35" s="21">
        <v>2</v>
      </c>
      <c r="E35" s="46">
        <f>D35*Synthèse!$C$10</f>
        <v>0</v>
      </c>
    </row>
    <row r="36" spans="2:5" x14ac:dyDescent="0.3">
      <c r="B36" s="4" t="s">
        <v>22</v>
      </c>
      <c r="C36" s="4"/>
      <c r="D36" s="42">
        <f>SUM(D37:D38)</f>
        <v>2</v>
      </c>
      <c r="E36" s="43">
        <f>D36*Synthèse!$C$10</f>
        <v>0</v>
      </c>
    </row>
    <row r="37" spans="2:5" ht="27.6" x14ac:dyDescent="0.3">
      <c r="B37" s="44" t="s">
        <v>105</v>
      </c>
      <c r="C37" s="45" t="s">
        <v>106</v>
      </c>
      <c r="D37" s="21">
        <v>1</v>
      </c>
      <c r="E37" s="46">
        <f>D37*Synthèse!$C$10</f>
        <v>0</v>
      </c>
    </row>
    <row r="38" spans="2:5" ht="27.6" x14ac:dyDescent="0.3">
      <c r="B38" s="44" t="s">
        <v>107</v>
      </c>
      <c r="C38" s="45" t="s">
        <v>108</v>
      </c>
      <c r="D38" s="21">
        <v>1</v>
      </c>
      <c r="E38" s="46">
        <f>D38*Synthèse!$C$10</f>
        <v>0</v>
      </c>
    </row>
    <row r="39" spans="2:5" x14ac:dyDescent="0.3">
      <c r="B39" s="4" t="s">
        <v>23</v>
      </c>
      <c r="C39" s="4"/>
      <c r="D39" s="42">
        <f>SUM(D40:D42)</f>
        <v>4</v>
      </c>
      <c r="E39" s="43">
        <f>D39*Synthèse!$C$10</f>
        <v>0</v>
      </c>
    </row>
    <row r="40" spans="2:5" ht="27.6" x14ac:dyDescent="0.3">
      <c r="B40" s="44" t="s">
        <v>109</v>
      </c>
      <c r="C40" s="45" t="s">
        <v>110</v>
      </c>
      <c r="D40" s="21">
        <v>1.5</v>
      </c>
      <c r="E40" s="46">
        <f>D40*Synthèse!$C$10</f>
        <v>0</v>
      </c>
    </row>
    <row r="41" spans="2:5" x14ac:dyDescent="0.3">
      <c r="B41" s="44" t="s">
        <v>111</v>
      </c>
      <c r="C41" s="45" t="s">
        <v>112</v>
      </c>
      <c r="D41" s="21">
        <v>1</v>
      </c>
      <c r="E41" s="46">
        <f>D41*Synthèse!$C$10</f>
        <v>0</v>
      </c>
    </row>
    <row r="42" spans="2:5" x14ac:dyDescent="0.3">
      <c r="B42" s="44" t="s">
        <v>113</v>
      </c>
      <c r="C42" s="45" t="s">
        <v>114</v>
      </c>
      <c r="D42" s="21">
        <v>1.5</v>
      </c>
      <c r="E42" s="46">
        <f>D42*Synthèse!$C$10</f>
        <v>0</v>
      </c>
    </row>
    <row r="43" spans="2:5" x14ac:dyDescent="0.3">
      <c r="B43" s="4" t="s">
        <v>24</v>
      </c>
      <c r="C43" s="4"/>
      <c r="D43" s="42">
        <f>SUM(D44:D45)</f>
        <v>2</v>
      </c>
      <c r="E43" s="43">
        <f>D43*Synthèse!$C$10</f>
        <v>0</v>
      </c>
    </row>
    <row r="44" spans="2:5" ht="27.6" x14ac:dyDescent="0.3">
      <c r="B44" s="44" t="s">
        <v>115</v>
      </c>
      <c r="C44" s="45" t="s">
        <v>116</v>
      </c>
      <c r="D44" s="21">
        <v>1</v>
      </c>
      <c r="E44" s="46">
        <f>D44*Synthèse!$C$10</f>
        <v>0</v>
      </c>
    </row>
    <row r="45" spans="2:5" x14ac:dyDescent="0.3">
      <c r="B45" s="44" t="s">
        <v>117</v>
      </c>
      <c r="C45" s="45" t="s">
        <v>118</v>
      </c>
      <c r="D45" s="21">
        <v>1</v>
      </c>
      <c r="E45" s="46">
        <f>D45*Synthèse!$C$10</f>
        <v>0</v>
      </c>
    </row>
    <row r="46" spans="2:5" x14ac:dyDescent="0.3">
      <c r="B46" s="4" t="s">
        <v>25</v>
      </c>
      <c r="C46" s="4"/>
      <c r="D46" s="42">
        <f>SUM(D47)</f>
        <v>3</v>
      </c>
      <c r="E46" s="43">
        <f>D46*Synthèse!$C$10</f>
        <v>0</v>
      </c>
    </row>
    <row r="47" spans="2:5" ht="27.6" x14ac:dyDescent="0.3">
      <c r="B47" s="44" t="s">
        <v>119</v>
      </c>
      <c r="C47" s="45" t="s">
        <v>120</v>
      </c>
      <c r="D47" s="21">
        <v>3</v>
      </c>
      <c r="E47" s="46">
        <f>D47*Synthèse!$C$10</f>
        <v>0</v>
      </c>
    </row>
    <row r="48" spans="2:5" ht="15" customHeight="1" x14ac:dyDescent="0.3">
      <c r="B48" s="3" t="s">
        <v>121</v>
      </c>
      <c r="C48" s="3"/>
      <c r="D48" s="29">
        <f>Synthèse!C25</f>
        <v>50</v>
      </c>
      <c r="E48" s="31">
        <f>Synthèse!E25</f>
        <v>0</v>
      </c>
    </row>
  </sheetData>
  <mergeCells count="13">
    <mergeCell ref="B43:C43"/>
    <mergeCell ref="B46:C46"/>
    <mergeCell ref="B48:C48"/>
    <mergeCell ref="B20:C20"/>
    <mergeCell ref="B27:C27"/>
    <mergeCell ref="B32:C32"/>
    <mergeCell ref="B36:C36"/>
    <mergeCell ref="B39:C39"/>
    <mergeCell ref="B2:E2"/>
    <mergeCell ref="B3:E3"/>
    <mergeCell ref="B6:C6"/>
    <mergeCell ref="B10:C10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tabSelected="1" zoomScaleNormal="100" workbookViewId="0">
      <pane ySplit="5" topLeftCell="A9" activePane="bottomLeft" state="frozen"/>
      <selection pane="bottomLeft" activeCell="B5" sqref="B5:E31"/>
    </sheetView>
  </sheetViews>
  <sheetFormatPr baseColWidth="10" defaultColWidth="8.6640625" defaultRowHeight="14.4" x14ac:dyDescent="0.3"/>
  <cols>
    <col min="1" max="1" width="4" customWidth="1"/>
    <col min="2" max="2" width="8" customWidth="1"/>
    <col min="3" max="3" width="60" customWidth="1"/>
    <col min="4" max="4" width="14" customWidth="1"/>
    <col min="5" max="5" width="18" customWidth="1"/>
  </cols>
  <sheetData>
    <row r="2" spans="2:5" ht="24" customHeight="1" x14ac:dyDescent="0.4">
      <c r="B2" s="5" t="s">
        <v>122</v>
      </c>
      <c r="C2" s="5"/>
      <c r="D2" s="5"/>
      <c r="E2" s="5"/>
    </row>
    <row r="3" spans="2:5" x14ac:dyDescent="0.3">
      <c r="B3" s="13" t="s">
        <v>123</v>
      </c>
      <c r="C3" s="13"/>
      <c r="D3" s="13"/>
      <c r="E3" s="13"/>
    </row>
    <row r="5" spans="2:5" ht="27.75" customHeight="1" x14ac:dyDescent="0.3">
      <c r="B5" s="19" t="s">
        <v>54</v>
      </c>
      <c r="C5" s="19" t="s">
        <v>55</v>
      </c>
      <c r="D5" s="19" t="s">
        <v>13</v>
      </c>
      <c r="E5" s="19" t="s">
        <v>56</v>
      </c>
    </row>
    <row r="6" spans="2:5" x14ac:dyDescent="0.3">
      <c r="B6" s="2" t="s">
        <v>30</v>
      </c>
      <c r="C6" s="2"/>
      <c r="D6" s="48">
        <f>SUM(D7)</f>
        <v>1.5</v>
      </c>
      <c r="E6" s="49">
        <f>D6*Synthèse!$C$10</f>
        <v>0</v>
      </c>
    </row>
    <row r="7" spans="2:5" x14ac:dyDescent="0.3">
      <c r="B7" s="44" t="s">
        <v>124</v>
      </c>
      <c r="C7" s="45" t="s">
        <v>125</v>
      </c>
      <c r="D7" s="21">
        <v>1.5</v>
      </c>
      <c r="E7" s="46">
        <f>D7*Synthèse!$C$10</f>
        <v>0</v>
      </c>
    </row>
    <row r="8" spans="2:5" x14ac:dyDescent="0.3">
      <c r="B8" s="2" t="s">
        <v>31</v>
      </c>
      <c r="C8" s="2"/>
      <c r="D8" s="48">
        <f>SUM(D9:D10)</f>
        <v>2</v>
      </c>
      <c r="E8" s="49">
        <f>D8*Synthèse!$C$10</f>
        <v>0</v>
      </c>
    </row>
    <row r="9" spans="2:5" ht="27.6" x14ac:dyDescent="0.3">
      <c r="B9" s="44" t="s">
        <v>126</v>
      </c>
      <c r="C9" s="45" t="s">
        <v>127</v>
      </c>
      <c r="D9" s="21">
        <v>1.5</v>
      </c>
      <c r="E9" s="46">
        <f>D9*Synthèse!$C$10</f>
        <v>0</v>
      </c>
    </row>
    <row r="10" spans="2:5" x14ac:dyDescent="0.3">
      <c r="B10" s="44" t="s">
        <v>128</v>
      </c>
      <c r="C10" s="45" t="s">
        <v>129</v>
      </c>
      <c r="D10" s="21">
        <v>0.5</v>
      </c>
      <c r="E10" s="46">
        <f>D10*Synthèse!$C$10</f>
        <v>0</v>
      </c>
    </row>
    <row r="11" spans="2:5" x14ac:dyDescent="0.3">
      <c r="B11" s="2" t="s">
        <v>32</v>
      </c>
      <c r="C11" s="2"/>
      <c r="D11" s="48">
        <f>SUM(D12:D13)</f>
        <v>2.5</v>
      </c>
      <c r="E11" s="49">
        <f>D11*Synthèse!$C$10</f>
        <v>0</v>
      </c>
    </row>
    <row r="12" spans="2:5" x14ac:dyDescent="0.3">
      <c r="B12" s="44" t="s">
        <v>130</v>
      </c>
      <c r="C12" s="45" t="s">
        <v>131</v>
      </c>
      <c r="D12" s="21">
        <v>1.5</v>
      </c>
      <c r="E12" s="46">
        <f>D12*Synthèse!$C$10</f>
        <v>0</v>
      </c>
    </row>
    <row r="13" spans="2:5" ht="27.6" x14ac:dyDescent="0.3">
      <c r="B13" s="44" t="s">
        <v>132</v>
      </c>
      <c r="C13" s="45" t="s">
        <v>133</v>
      </c>
      <c r="D13" s="21">
        <v>1</v>
      </c>
      <c r="E13" s="46">
        <f>D13*Synthèse!$C$10</f>
        <v>0</v>
      </c>
    </row>
    <row r="14" spans="2:5" x14ac:dyDescent="0.3">
      <c r="B14" s="2" t="s">
        <v>33</v>
      </c>
      <c r="C14" s="2"/>
      <c r="D14" s="48">
        <f>SUM(D15:D16)</f>
        <v>2.5</v>
      </c>
      <c r="E14" s="49">
        <f>D14*Synthèse!$C$10</f>
        <v>0</v>
      </c>
    </row>
    <row r="15" spans="2:5" ht="27.6" x14ac:dyDescent="0.3">
      <c r="B15" s="44" t="s">
        <v>134</v>
      </c>
      <c r="C15" s="45" t="s">
        <v>135</v>
      </c>
      <c r="D15" s="21">
        <v>1.5</v>
      </c>
      <c r="E15" s="46">
        <f>D15*Synthèse!$C$10</f>
        <v>0</v>
      </c>
    </row>
    <row r="16" spans="2:5" ht="27.6" x14ac:dyDescent="0.3">
      <c r="B16" s="44" t="s">
        <v>136</v>
      </c>
      <c r="C16" s="45" t="s">
        <v>137</v>
      </c>
      <c r="D16" s="21">
        <v>1</v>
      </c>
      <c r="E16" s="46">
        <f>D16*Synthèse!$C$10</f>
        <v>0</v>
      </c>
    </row>
    <row r="17" spans="2:5" x14ac:dyDescent="0.3">
      <c r="B17" s="2" t="s">
        <v>34</v>
      </c>
      <c r="C17" s="2"/>
      <c r="D17" s="48">
        <f>SUM(D18:D19)</f>
        <v>3</v>
      </c>
      <c r="E17" s="49">
        <f>D17*Synthèse!$C$10</f>
        <v>0</v>
      </c>
    </row>
    <row r="18" spans="2:5" ht="27.6" x14ac:dyDescent="0.3">
      <c r="B18" s="44" t="s">
        <v>138</v>
      </c>
      <c r="C18" s="45" t="s">
        <v>139</v>
      </c>
      <c r="D18" s="21">
        <v>1.5</v>
      </c>
      <c r="E18" s="46">
        <f>D18*Synthèse!$C$10</f>
        <v>0</v>
      </c>
    </row>
    <row r="19" spans="2:5" ht="27.6" x14ac:dyDescent="0.3">
      <c r="B19" s="44" t="s">
        <v>140</v>
      </c>
      <c r="C19" s="45" t="s">
        <v>141</v>
      </c>
      <c r="D19" s="21">
        <v>1.5</v>
      </c>
      <c r="E19" s="46">
        <f>D19*Synthèse!$C$10</f>
        <v>0</v>
      </c>
    </row>
    <row r="20" spans="2:5" x14ac:dyDescent="0.3">
      <c r="B20" s="2" t="s">
        <v>35</v>
      </c>
      <c r="C20" s="2"/>
      <c r="D20" s="48">
        <f>SUM(D21:D23)</f>
        <v>3</v>
      </c>
      <c r="E20" s="49">
        <f>D20*Synthèse!$C$10</f>
        <v>0</v>
      </c>
    </row>
    <row r="21" spans="2:5" ht="27.6" x14ac:dyDescent="0.3">
      <c r="B21" s="44" t="s">
        <v>142</v>
      </c>
      <c r="C21" s="45" t="s">
        <v>143</v>
      </c>
      <c r="D21" s="21">
        <v>1</v>
      </c>
      <c r="E21" s="46">
        <f>D21*Synthèse!$C$10</f>
        <v>0</v>
      </c>
    </row>
    <row r="22" spans="2:5" ht="27.6" x14ac:dyDescent="0.3">
      <c r="B22" s="44" t="s">
        <v>144</v>
      </c>
      <c r="C22" s="45" t="s">
        <v>145</v>
      </c>
      <c r="D22" s="21">
        <v>1</v>
      </c>
      <c r="E22" s="46">
        <f>D22*Synthèse!$C$10</f>
        <v>0</v>
      </c>
    </row>
    <row r="23" spans="2:5" ht="27.6" x14ac:dyDescent="0.3">
      <c r="B23" s="44" t="s">
        <v>146</v>
      </c>
      <c r="C23" s="45" t="s">
        <v>147</v>
      </c>
      <c r="D23" s="21">
        <v>1</v>
      </c>
      <c r="E23" s="46">
        <f>D23*Synthèse!$C$10</f>
        <v>0</v>
      </c>
    </row>
    <row r="24" spans="2:5" x14ac:dyDescent="0.3">
      <c r="B24" s="2" t="s">
        <v>36</v>
      </c>
      <c r="C24" s="2"/>
      <c r="D24" s="48">
        <f>SUM(D25)</f>
        <v>1.5</v>
      </c>
      <c r="E24" s="49">
        <f>D24*Synthèse!$C$10</f>
        <v>0</v>
      </c>
    </row>
    <row r="25" spans="2:5" ht="27.6" x14ac:dyDescent="0.3">
      <c r="B25" s="44" t="s">
        <v>148</v>
      </c>
      <c r="C25" s="45" t="s">
        <v>149</v>
      </c>
      <c r="D25" s="21">
        <v>1.5</v>
      </c>
      <c r="E25" s="46">
        <f>D25*Synthèse!$C$10</f>
        <v>0</v>
      </c>
    </row>
    <row r="26" spans="2:5" x14ac:dyDescent="0.3">
      <c r="B26" s="2" t="s">
        <v>37</v>
      </c>
      <c r="C26" s="2"/>
      <c r="D26" s="48">
        <f>SUM(D27)</f>
        <v>1</v>
      </c>
      <c r="E26" s="49">
        <f>D26*Synthèse!$C$10</f>
        <v>0</v>
      </c>
    </row>
    <row r="27" spans="2:5" ht="27.6" x14ac:dyDescent="0.3">
      <c r="B27" s="44" t="s">
        <v>150</v>
      </c>
      <c r="C27" s="45" t="s">
        <v>151</v>
      </c>
      <c r="D27" s="21">
        <v>1</v>
      </c>
      <c r="E27" s="46">
        <f>D27*Synthèse!$C$10</f>
        <v>0</v>
      </c>
    </row>
    <row r="28" spans="2:5" x14ac:dyDescent="0.3">
      <c r="B28" s="2" t="s">
        <v>38</v>
      </c>
      <c r="C28" s="2"/>
      <c r="D28" s="48">
        <f>SUM(D29:D30)</f>
        <v>2.5</v>
      </c>
      <c r="E28" s="49">
        <f>D28*Synthèse!$C$10</f>
        <v>0</v>
      </c>
    </row>
    <row r="29" spans="2:5" x14ac:dyDescent="0.3">
      <c r="B29" s="44" t="s">
        <v>152</v>
      </c>
      <c r="C29" s="45" t="s">
        <v>153</v>
      </c>
      <c r="D29" s="21">
        <v>1</v>
      </c>
      <c r="E29" s="46">
        <f>D29*Synthèse!$C$10</f>
        <v>0</v>
      </c>
    </row>
    <row r="30" spans="2:5" x14ac:dyDescent="0.3">
      <c r="B30" s="44" t="s">
        <v>154</v>
      </c>
      <c r="C30" s="45" t="s">
        <v>155</v>
      </c>
      <c r="D30" s="21">
        <v>1.5</v>
      </c>
      <c r="E30" s="46">
        <f>D30*Synthèse!$C$10</f>
        <v>0</v>
      </c>
    </row>
    <row r="31" spans="2:5" ht="15" customHeight="1" x14ac:dyDescent="0.3">
      <c r="B31" s="1" t="s">
        <v>156</v>
      </c>
      <c r="C31" s="1"/>
      <c r="D31" s="34">
        <f>Synthèse!C39</f>
        <v>21</v>
      </c>
      <c r="E31" s="36">
        <f>Synthèse!E39</f>
        <v>0</v>
      </c>
    </row>
  </sheetData>
  <mergeCells count="12">
    <mergeCell ref="B28:C28"/>
    <mergeCell ref="B31:C31"/>
    <mergeCell ref="B14:C14"/>
    <mergeCell ref="B17:C17"/>
    <mergeCell ref="B20:C20"/>
    <mergeCell ref="B24:C24"/>
    <mergeCell ref="B26:C26"/>
    <mergeCell ref="B2:E2"/>
    <mergeCell ref="B3:E3"/>
    <mergeCell ref="B6:C6"/>
    <mergeCell ref="B8:C8"/>
    <mergeCell ref="B11:C1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4" customWidth="1"/>
    <col min="2" max="2" width="32" customWidth="1"/>
    <col min="3" max="19" width="5" customWidth="1"/>
  </cols>
  <sheetData>
    <row r="2" spans="2:19" ht="24" customHeight="1" x14ac:dyDescent="0.4">
      <c r="B2" s="5" t="s">
        <v>157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19" x14ac:dyDescent="0.3">
      <c r="B3" s="13" t="s">
        <v>158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5" spans="2:19" ht="25.5" customHeight="1" x14ac:dyDescent="0.3">
      <c r="B5" s="19" t="s">
        <v>12</v>
      </c>
      <c r="C5" s="19" t="s">
        <v>159</v>
      </c>
      <c r="D5" s="19" t="s">
        <v>160</v>
      </c>
      <c r="E5" s="19" t="s">
        <v>161</v>
      </c>
      <c r="F5" s="19" t="s">
        <v>162</v>
      </c>
      <c r="G5" s="19" t="s">
        <v>163</v>
      </c>
      <c r="H5" s="19" t="s">
        <v>164</v>
      </c>
      <c r="I5" s="19" t="s">
        <v>165</v>
      </c>
      <c r="J5" s="19" t="s">
        <v>166</v>
      </c>
      <c r="K5" s="19" t="s">
        <v>167</v>
      </c>
      <c r="L5" s="19" t="s">
        <v>168</v>
      </c>
      <c r="M5" s="19" t="s">
        <v>169</v>
      </c>
      <c r="N5" s="19" t="s">
        <v>170</v>
      </c>
      <c r="O5" s="19" t="s">
        <v>171</v>
      </c>
      <c r="P5" s="19" t="s">
        <v>172</v>
      </c>
      <c r="Q5" s="19" t="s">
        <v>173</v>
      </c>
      <c r="R5" s="19" t="s">
        <v>174</v>
      </c>
      <c r="S5" s="19" t="s">
        <v>175</v>
      </c>
    </row>
    <row r="6" spans="2:19" x14ac:dyDescent="0.3">
      <c r="B6" s="20" t="s">
        <v>16</v>
      </c>
      <c r="C6" s="3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</row>
    <row r="7" spans="2:19" x14ac:dyDescent="0.3">
      <c r="B7" s="20" t="s">
        <v>176</v>
      </c>
      <c r="C7" s="51"/>
      <c r="D7" s="30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spans="2:19" x14ac:dyDescent="0.3">
      <c r="B8" s="20" t="s">
        <v>18</v>
      </c>
      <c r="C8" s="51"/>
      <c r="D8" s="51"/>
      <c r="E8" s="30"/>
      <c r="F8" s="30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spans="2:19" x14ac:dyDescent="0.3">
      <c r="B9" s="20" t="s">
        <v>177</v>
      </c>
      <c r="C9" s="51"/>
      <c r="D9" s="51"/>
      <c r="E9" s="51"/>
      <c r="F9" s="30"/>
      <c r="G9" s="30"/>
      <c r="H9" s="30"/>
      <c r="I9" s="30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 spans="2:19" x14ac:dyDescent="0.3">
      <c r="B10" s="20" t="s">
        <v>178</v>
      </c>
      <c r="C10" s="51"/>
      <c r="D10" s="51"/>
      <c r="E10" s="51"/>
      <c r="F10" s="51"/>
      <c r="G10" s="30"/>
      <c r="H10" s="30"/>
      <c r="I10" s="30"/>
      <c r="J10" s="30"/>
      <c r="K10" s="51"/>
      <c r="L10" s="51"/>
      <c r="M10" s="51"/>
      <c r="N10" s="51"/>
      <c r="O10" s="51"/>
      <c r="P10" s="51"/>
      <c r="Q10" s="51"/>
      <c r="R10" s="51"/>
      <c r="S10" s="51"/>
    </row>
    <row r="11" spans="2:19" x14ac:dyDescent="0.3">
      <c r="B11" s="20" t="s">
        <v>179</v>
      </c>
      <c r="C11" s="51"/>
      <c r="D11" s="51"/>
      <c r="E11" s="51"/>
      <c r="F11" s="51"/>
      <c r="G11" s="51"/>
      <c r="H11" s="51"/>
      <c r="I11" s="30"/>
      <c r="J11" s="30"/>
      <c r="K11" s="30"/>
      <c r="L11" s="51"/>
      <c r="M11" s="51"/>
      <c r="N11" s="51"/>
      <c r="O11" s="51"/>
      <c r="P11" s="51"/>
      <c r="Q11" s="51"/>
      <c r="R11" s="51"/>
      <c r="S11" s="51"/>
    </row>
    <row r="12" spans="2:19" x14ac:dyDescent="0.3">
      <c r="B12" s="20" t="s">
        <v>180</v>
      </c>
      <c r="C12" s="51"/>
      <c r="D12" s="51"/>
      <c r="E12" s="51"/>
      <c r="F12" s="51"/>
      <c r="G12" s="51"/>
      <c r="H12" s="51"/>
      <c r="I12" s="51"/>
      <c r="J12" s="30"/>
      <c r="K12" s="30"/>
      <c r="L12" s="51"/>
      <c r="M12" s="51"/>
      <c r="N12" s="51"/>
      <c r="O12" s="51"/>
      <c r="P12" s="51"/>
      <c r="Q12" s="51"/>
      <c r="R12" s="51"/>
      <c r="S12" s="51"/>
    </row>
    <row r="13" spans="2:19" x14ac:dyDescent="0.3">
      <c r="B13" s="20" t="s">
        <v>23</v>
      </c>
      <c r="C13" s="51"/>
      <c r="D13" s="51"/>
      <c r="E13" s="51"/>
      <c r="F13" s="51"/>
      <c r="G13" s="51"/>
      <c r="H13" s="51"/>
      <c r="I13" s="51"/>
      <c r="J13" s="51"/>
      <c r="K13" s="30"/>
      <c r="L13" s="30"/>
      <c r="M13" s="51"/>
      <c r="N13" s="51"/>
      <c r="O13" s="51"/>
      <c r="P13" s="51"/>
      <c r="Q13" s="51"/>
      <c r="R13" s="51"/>
      <c r="S13" s="51"/>
    </row>
    <row r="14" spans="2:19" x14ac:dyDescent="0.3">
      <c r="B14" s="20" t="s">
        <v>181</v>
      </c>
      <c r="C14" s="51"/>
      <c r="D14" s="51"/>
      <c r="E14" s="51"/>
      <c r="F14" s="51"/>
      <c r="G14" s="51"/>
      <c r="H14" s="51"/>
      <c r="I14" s="51"/>
      <c r="J14" s="51"/>
      <c r="K14" s="51"/>
      <c r="L14" s="30"/>
      <c r="M14" s="51"/>
      <c r="N14" s="51"/>
      <c r="O14" s="51"/>
      <c r="P14" s="51"/>
      <c r="Q14" s="51"/>
      <c r="R14" s="51"/>
      <c r="S14" s="51"/>
    </row>
    <row r="15" spans="2:19" x14ac:dyDescent="0.3">
      <c r="B15" s="20" t="s">
        <v>25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30"/>
      <c r="N15" s="30"/>
      <c r="O15" s="51"/>
      <c r="P15" s="51"/>
      <c r="Q15" s="51"/>
      <c r="R15" s="51"/>
      <c r="S15" s="51"/>
    </row>
    <row r="16" spans="2:19" x14ac:dyDescent="0.3">
      <c r="B16" s="32" t="s">
        <v>182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35"/>
      <c r="P16" s="51"/>
      <c r="Q16" s="51"/>
      <c r="R16" s="51"/>
      <c r="S16" s="51"/>
    </row>
    <row r="17" spans="2:19" x14ac:dyDescent="0.3">
      <c r="B17" s="32" t="s">
        <v>183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35"/>
      <c r="P17" s="51"/>
      <c r="Q17" s="51"/>
      <c r="R17" s="51"/>
      <c r="S17" s="51"/>
    </row>
    <row r="18" spans="2:19" x14ac:dyDescent="0.3">
      <c r="B18" s="32" t="s">
        <v>184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35"/>
      <c r="Q18" s="51"/>
      <c r="R18" s="51"/>
      <c r="S18" s="51"/>
    </row>
    <row r="19" spans="2:19" x14ac:dyDescent="0.3">
      <c r="B19" s="32" t="s">
        <v>185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35"/>
      <c r="Q19" s="35"/>
      <c r="R19" s="51"/>
      <c r="S19" s="51"/>
    </row>
    <row r="20" spans="2:19" x14ac:dyDescent="0.3">
      <c r="B20" s="32" t="s">
        <v>34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35"/>
      <c r="R20" s="51"/>
      <c r="S20" s="51"/>
    </row>
    <row r="21" spans="2:19" x14ac:dyDescent="0.3">
      <c r="B21" s="32" t="s">
        <v>186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35"/>
      <c r="R21" s="35"/>
      <c r="S21" s="51"/>
    </row>
    <row r="22" spans="2:19" x14ac:dyDescent="0.3">
      <c r="B22" s="32" t="s">
        <v>187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35"/>
      <c r="S22" s="51"/>
    </row>
    <row r="23" spans="2:19" x14ac:dyDescent="0.3">
      <c r="B23" s="32" t="s">
        <v>37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35"/>
      <c r="S23" s="51"/>
    </row>
    <row r="24" spans="2:19" ht="27.6" x14ac:dyDescent="0.3">
      <c r="B24" s="32" t="s">
        <v>188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35"/>
      <c r="S24" s="35"/>
    </row>
    <row r="25" spans="2:19" ht="21.75" customHeight="1" x14ac:dyDescent="0.3">
      <c r="B25" s="7" t="s">
        <v>189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2:19" x14ac:dyDescent="0.3">
      <c r="B26" s="63" t="s">
        <v>190</v>
      </c>
      <c r="C26" s="63"/>
      <c r="D26" s="63" t="s">
        <v>191</v>
      </c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</row>
    <row r="27" spans="2:19" x14ac:dyDescent="0.3">
      <c r="B27" s="64" t="s">
        <v>192</v>
      </c>
      <c r="C27" s="64"/>
      <c r="D27" s="65" t="s">
        <v>193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</row>
    <row r="28" spans="2:19" x14ac:dyDescent="0.3">
      <c r="B28" s="64" t="s">
        <v>194</v>
      </c>
      <c r="C28" s="64"/>
      <c r="D28" s="65" t="s">
        <v>195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2:19" x14ac:dyDescent="0.3">
      <c r="B29" s="64" t="s">
        <v>196</v>
      </c>
      <c r="C29" s="64"/>
      <c r="D29" s="65" t="s">
        <v>197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2:19" x14ac:dyDescent="0.3">
      <c r="B30" s="64" t="s">
        <v>198</v>
      </c>
      <c r="C30" s="64"/>
      <c r="D30" s="65" t="s">
        <v>199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</row>
    <row r="31" spans="2:19" x14ac:dyDescent="0.3">
      <c r="B31" s="64" t="s">
        <v>200</v>
      </c>
      <c r="C31" s="64"/>
      <c r="D31" s="65" t="s">
        <v>201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</row>
    <row r="32" spans="2:19" x14ac:dyDescent="0.3">
      <c r="B32" s="64" t="s">
        <v>202</v>
      </c>
      <c r="C32" s="64"/>
      <c r="D32" s="65" t="s">
        <v>203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</row>
    <row r="33" spans="2:19" x14ac:dyDescent="0.3">
      <c r="B33" s="64" t="s">
        <v>204</v>
      </c>
      <c r="C33" s="64"/>
      <c r="D33" s="65" t="s">
        <v>205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</row>
    <row r="34" spans="2:19" x14ac:dyDescent="0.3">
      <c r="B34" s="64" t="s">
        <v>206</v>
      </c>
      <c r="C34" s="64"/>
      <c r="D34" s="65" t="s">
        <v>207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</row>
    <row r="35" spans="2:19" x14ac:dyDescent="0.3">
      <c r="B35" s="66" t="s">
        <v>208</v>
      </c>
      <c r="C35" s="66"/>
      <c r="D35" s="65" t="s">
        <v>209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</row>
    <row r="36" spans="2:19" x14ac:dyDescent="0.3">
      <c r="B36" s="66" t="s">
        <v>210</v>
      </c>
      <c r="C36" s="66"/>
      <c r="D36" s="65" t="s">
        <v>211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</row>
    <row r="37" spans="2:19" x14ac:dyDescent="0.3">
      <c r="B37" s="66" t="s">
        <v>212</v>
      </c>
      <c r="C37" s="66"/>
      <c r="D37" s="65" t="s">
        <v>213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</row>
    <row r="38" spans="2:19" x14ac:dyDescent="0.3">
      <c r="B38" s="66" t="s">
        <v>214</v>
      </c>
      <c r="C38" s="66"/>
      <c r="D38" s="65" t="s">
        <v>215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</row>
  </sheetData>
  <mergeCells count="29">
    <mergeCell ref="B36:C36"/>
    <mergeCell ref="D36:S36"/>
    <mergeCell ref="B37:C37"/>
    <mergeCell ref="D37:S37"/>
    <mergeCell ref="B38:C38"/>
    <mergeCell ref="D38:S38"/>
    <mergeCell ref="B33:C33"/>
    <mergeCell ref="D33:S33"/>
    <mergeCell ref="B34:C34"/>
    <mergeCell ref="D34:S34"/>
    <mergeCell ref="B35:C35"/>
    <mergeCell ref="D35:S35"/>
    <mergeCell ref="B30:C30"/>
    <mergeCell ref="D30:S30"/>
    <mergeCell ref="B31:C31"/>
    <mergeCell ref="D31:S31"/>
    <mergeCell ref="B32:C32"/>
    <mergeCell ref="D32:S32"/>
    <mergeCell ref="B27:C27"/>
    <mergeCell ref="D27:S27"/>
    <mergeCell ref="B28:C28"/>
    <mergeCell ref="D28:S28"/>
    <mergeCell ref="B29:C29"/>
    <mergeCell ref="D29:S29"/>
    <mergeCell ref="B2:S2"/>
    <mergeCell ref="B3:S3"/>
    <mergeCell ref="B25:S25"/>
    <mergeCell ref="B26:C26"/>
    <mergeCell ref="D26:S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4" customWidth="1"/>
    <col min="2" max="2" width="38" customWidth="1"/>
    <col min="3" max="3" width="10" customWidth="1"/>
    <col min="4" max="4" width="50" customWidth="1"/>
  </cols>
  <sheetData>
    <row r="2" spans="2:4" ht="24" customHeight="1" x14ac:dyDescent="0.4">
      <c r="B2" s="5" t="s">
        <v>216</v>
      </c>
      <c r="C2" s="5"/>
      <c r="D2" s="5"/>
    </row>
    <row r="3" spans="2:4" x14ac:dyDescent="0.3">
      <c r="B3" s="13" t="s">
        <v>217</v>
      </c>
      <c r="C3" s="13"/>
      <c r="D3" s="13"/>
    </row>
    <row r="5" spans="2:4" ht="27.75" customHeight="1" x14ac:dyDescent="0.3">
      <c r="B5" s="19" t="s">
        <v>218</v>
      </c>
      <c r="C5" s="19" t="s">
        <v>219</v>
      </c>
      <c r="D5" s="19" t="s">
        <v>220</v>
      </c>
    </row>
    <row r="6" spans="2:4" ht="21.75" customHeight="1" x14ac:dyDescent="0.3">
      <c r="B6" s="67" t="s">
        <v>221</v>
      </c>
      <c r="C6" s="67"/>
      <c r="D6" s="67"/>
    </row>
    <row r="7" spans="2:4" ht="41.4" x14ac:dyDescent="0.3">
      <c r="B7" s="20" t="s">
        <v>222</v>
      </c>
      <c r="C7" s="21">
        <v>2.5</v>
      </c>
      <c r="D7" s="45" t="s">
        <v>223</v>
      </c>
    </row>
    <row r="8" spans="2:4" ht="41.4" x14ac:dyDescent="0.3">
      <c r="B8" s="20" t="s">
        <v>224</v>
      </c>
      <c r="C8" s="21">
        <v>1</v>
      </c>
      <c r="D8" s="45" t="s">
        <v>225</v>
      </c>
    </row>
    <row r="9" spans="2:4" ht="41.4" x14ac:dyDescent="0.3">
      <c r="B9" s="20" t="s">
        <v>226</v>
      </c>
      <c r="C9" s="21">
        <v>1</v>
      </c>
      <c r="D9" s="45" t="s">
        <v>227</v>
      </c>
    </row>
    <row r="10" spans="2:4" ht="27.6" x14ac:dyDescent="0.3">
      <c r="B10" s="20" t="s">
        <v>228</v>
      </c>
      <c r="C10" s="21">
        <v>0.5</v>
      </c>
      <c r="D10" s="45" t="s">
        <v>229</v>
      </c>
    </row>
    <row r="11" spans="2:4" ht="27.6" x14ac:dyDescent="0.3">
      <c r="B11" s="20" t="s">
        <v>230</v>
      </c>
      <c r="C11" s="21">
        <v>1</v>
      </c>
      <c r="D11" s="45" t="s">
        <v>231</v>
      </c>
    </row>
    <row r="12" spans="2:4" x14ac:dyDescent="0.3">
      <c r="B12" s="47" t="s">
        <v>232</v>
      </c>
      <c r="C12" s="52">
        <f>SUM(C7:C11)</f>
        <v>6</v>
      </c>
      <c r="D12" s="30"/>
    </row>
    <row r="14" spans="2:4" ht="21.75" customHeight="1" x14ac:dyDescent="0.3">
      <c r="B14" s="68" t="s">
        <v>233</v>
      </c>
      <c r="C14" s="68"/>
      <c r="D14" s="68"/>
    </row>
    <row r="15" spans="2:4" ht="27.6" x14ac:dyDescent="0.3">
      <c r="B15" s="32" t="s">
        <v>234</v>
      </c>
      <c r="C15" s="21">
        <v>0.5</v>
      </c>
      <c r="D15" s="45" t="s">
        <v>235</v>
      </c>
    </row>
    <row r="16" spans="2:4" ht="27.6" x14ac:dyDescent="0.3">
      <c r="B16" s="32" t="s">
        <v>236</v>
      </c>
      <c r="C16" s="21">
        <v>0.5</v>
      </c>
      <c r="D16" s="45" t="s">
        <v>237</v>
      </c>
    </row>
    <row r="17" spans="2:4" ht="27.6" x14ac:dyDescent="0.3">
      <c r="B17" s="32" t="s">
        <v>238</v>
      </c>
      <c r="C17" s="21">
        <v>0.5</v>
      </c>
      <c r="D17" s="45" t="s">
        <v>239</v>
      </c>
    </row>
    <row r="18" spans="2:4" x14ac:dyDescent="0.3">
      <c r="B18" s="50" t="s">
        <v>240</v>
      </c>
      <c r="C18" s="53">
        <f>SUM(C15:C17)</f>
        <v>1.5</v>
      </c>
      <c r="D18" s="35"/>
    </row>
    <row r="20" spans="2:4" ht="60" customHeight="1" x14ac:dyDescent="0.3">
      <c r="B20" s="69" t="s">
        <v>241</v>
      </c>
      <c r="C20" s="69"/>
      <c r="D20" s="69"/>
    </row>
  </sheetData>
  <mergeCells count="5">
    <mergeCell ref="B2:D2"/>
    <mergeCell ref="B3:D3"/>
    <mergeCell ref="B6:D6"/>
    <mergeCell ref="B14:D14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4" customWidth="1"/>
    <col min="2" max="2" width="28" customWidth="1"/>
    <col min="3" max="3" width="36" customWidth="1"/>
    <col min="4" max="5" width="18" customWidth="1"/>
  </cols>
  <sheetData>
    <row r="2" spans="2:5" ht="24" customHeight="1" x14ac:dyDescent="0.4">
      <c r="B2" s="5" t="s">
        <v>242</v>
      </c>
      <c r="C2" s="5"/>
      <c r="D2" s="5"/>
      <c r="E2" s="5"/>
    </row>
    <row r="3" spans="2:5" x14ac:dyDescent="0.3">
      <c r="B3" s="13" t="s">
        <v>243</v>
      </c>
      <c r="C3" s="13"/>
      <c r="D3" s="13"/>
      <c r="E3" s="13"/>
    </row>
    <row r="5" spans="2:5" ht="27.75" customHeight="1" x14ac:dyDescent="0.3">
      <c r="B5" s="19" t="s">
        <v>244</v>
      </c>
      <c r="C5" s="19" t="s">
        <v>245</v>
      </c>
      <c r="D5" s="19" t="s">
        <v>246</v>
      </c>
      <c r="E5" s="19" t="s">
        <v>247</v>
      </c>
    </row>
    <row r="6" spans="2:5" ht="27.6" x14ac:dyDescent="0.3">
      <c r="B6" s="54" t="s">
        <v>248</v>
      </c>
      <c r="C6" s="45" t="s">
        <v>249</v>
      </c>
      <c r="D6" s="55">
        <v>50</v>
      </c>
      <c r="E6" s="56">
        <f t="shared" ref="E6:E15" si="0">D6*12</f>
        <v>600</v>
      </c>
    </row>
    <row r="7" spans="2:5" ht="27.6" x14ac:dyDescent="0.3">
      <c r="B7" s="54" t="s">
        <v>250</v>
      </c>
      <c r="C7" s="45" t="s">
        <v>251</v>
      </c>
      <c r="D7" s="55">
        <v>2</v>
      </c>
      <c r="E7" s="56">
        <f t="shared" si="0"/>
        <v>24</v>
      </c>
    </row>
    <row r="8" spans="2:5" ht="27.6" x14ac:dyDescent="0.3">
      <c r="B8" s="54" t="s">
        <v>252</v>
      </c>
      <c r="C8" s="45" t="s">
        <v>253</v>
      </c>
      <c r="D8" s="55">
        <v>3</v>
      </c>
      <c r="E8" s="56">
        <f t="shared" si="0"/>
        <v>36</v>
      </c>
    </row>
    <row r="9" spans="2:5" x14ac:dyDescent="0.3">
      <c r="B9" s="54" t="s">
        <v>254</v>
      </c>
      <c r="C9" s="45" t="s">
        <v>255</v>
      </c>
      <c r="D9" s="55">
        <v>10</v>
      </c>
      <c r="E9" s="56">
        <f t="shared" si="0"/>
        <v>120</v>
      </c>
    </row>
    <row r="10" spans="2:5" x14ac:dyDescent="0.3">
      <c r="B10" s="54" t="s">
        <v>256</v>
      </c>
      <c r="C10" s="45" t="s">
        <v>257</v>
      </c>
      <c r="D10" s="55">
        <v>10</v>
      </c>
      <c r="E10" s="56">
        <f t="shared" si="0"/>
        <v>120</v>
      </c>
    </row>
    <row r="11" spans="2:5" ht="27.6" x14ac:dyDescent="0.3">
      <c r="B11" s="54" t="s">
        <v>258</v>
      </c>
      <c r="C11" s="45" t="s">
        <v>259</v>
      </c>
      <c r="D11" s="55">
        <v>0</v>
      </c>
      <c r="E11" s="56">
        <f t="shared" si="0"/>
        <v>0</v>
      </c>
    </row>
    <row r="12" spans="2:5" ht="27.6" x14ac:dyDescent="0.3">
      <c r="B12" s="54" t="s">
        <v>222</v>
      </c>
      <c r="C12" s="45" t="s">
        <v>260</v>
      </c>
      <c r="D12" s="55">
        <v>50</v>
      </c>
      <c r="E12" s="56">
        <f t="shared" si="0"/>
        <v>600</v>
      </c>
    </row>
    <row r="13" spans="2:5" ht="27.6" x14ac:dyDescent="0.3">
      <c r="B13" s="54" t="s">
        <v>261</v>
      </c>
      <c r="C13" s="45" t="s">
        <v>262</v>
      </c>
      <c r="D13" s="55">
        <v>0</v>
      </c>
      <c r="E13" s="56">
        <f t="shared" si="0"/>
        <v>0</v>
      </c>
    </row>
    <row r="14" spans="2:5" ht="27.6" x14ac:dyDescent="0.3">
      <c r="B14" s="54" t="s">
        <v>263</v>
      </c>
      <c r="C14" s="45" t="s">
        <v>264</v>
      </c>
      <c r="D14" s="55">
        <v>0</v>
      </c>
      <c r="E14" s="56">
        <f t="shared" si="0"/>
        <v>0</v>
      </c>
    </row>
    <row r="15" spans="2:5" ht="15" customHeight="1" x14ac:dyDescent="0.3">
      <c r="B15" s="70" t="s">
        <v>265</v>
      </c>
      <c r="C15" s="70"/>
      <c r="D15" s="57">
        <f>SUM(D6:D14)</f>
        <v>125</v>
      </c>
      <c r="E15" s="57">
        <f t="shared" si="0"/>
        <v>1500</v>
      </c>
    </row>
    <row r="17" spans="2:5" ht="21.75" customHeight="1" x14ac:dyDescent="0.3">
      <c r="B17" s="7" t="s">
        <v>266</v>
      </c>
      <c r="C17" s="7"/>
      <c r="D17" s="7"/>
      <c r="E17" s="7"/>
    </row>
    <row r="18" spans="2:5" x14ac:dyDescent="0.3">
      <c r="B18" s="58" t="s">
        <v>267</v>
      </c>
      <c r="C18" s="59" t="s">
        <v>268</v>
      </c>
      <c r="D18" s="60">
        <f>Synthèse!C10</f>
        <v>0</v>
      </c>
      <c r="E18" s="60">
        <f>D18*12</f>
        <v>0</v>
      </c>
    </row>
    <row r="20" spans="2:5" ht="21.75" customHeight="1" x14ac:dyDescent="0.3">
      <c r="B20" s="7" t="s">
        <v>269</v>
      </c>
      <c r="C20" s="7"/>
      <c r="D20" s="7"/>
      <c r="E20" s="7"/>
    </row>
    <row r="21" spans="2:5" ht="31.5" customHeight="1" x14ac:dyDescent="0.3">
      <c r="B21" s="71" t="s">
        <v>270</v>
      </c>
      <c r="C21" s="71"/>
      <c r="D21" s="71"/>
      <c r="E21" s="71"/>
    </row>
    <row r="22" spans="2:5" ht="31.5" customHeight="1" x14ac:dyDescent="0.3">
      <c r="B22" s="71" t="s">
        <v>271</v>
      </c>
      <c r="C22" s="71"/>
      <c r="D22" s="71"/>
      <c r="E22" s="71"/>
    </row>
    <row r="23" spans="2:5" ht="31.5" customHeight="1" x14ac:dyDescent="0.3">
      <c r="B23" s="71" t="s">
        <v>272</v>
      </c>
      <c r="C23" s="71"/>
      <c r="D23" s="71"/>
      <c r="E23" s="71"/>
    </row>
    <row r="24" spans="2:5" ht="31.5" customHeight="1" x14ac:dyDescent="0.3">
      <c r="B24" s="71" t="s">
        <v>273</v>
      </c>
      <c r="C24" s="71"/>
      <c r="D24" s="71"/>
      <c r="E24" s="71"/>
    </row>
    <row r="25" spans="2:5" ht="31.5" customHeight="1" x14ac:dyDescent="0.3">
      <c r="B25" s="71" t="s">
        <v>274</v>
      </c>
      <c r="C25" s="71"/>
      <c r="D25" s="71"/>
      <c r="E25" s="71"/>
    </row>
  </sheetData>
  <mergeCells count="10">
    <mergeCell ref="B21:E21"/>
    <mergeCell ref="B22:E22"/>
    <mergeCell ref="B23:E23"/>
    <mergeCell ref="B24:E24"/>
    <mergeCell ref="B25:E25"/>
    <mergeCell ref="B2:E2"/>
    <mergeCell ref="B3:E3"/>
    <mergeCell ref="B15:C15"/>
    <mergeCell ref="B17:E17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4" customWidth="1"/>
    <col min="2" max="2" width="32" customWidth="1"/>
    <col min="3" max="3" width="70" customWidth="1"/>
  </cols>
  <sheetData>
    <row r="2" spans="2:3" ht="24" customHeight="1" x14ac:dyDescent="0.4">
      <c r="B2" s="5" t="s">
        <v>275</v>
      </c>
      <c r="C2" s="5"/>
    </row>
    <row r="4" spans="2:3" ht="21.75" customHeight="1" x14ac:dyDescent="0.3">
      <c r="B4" s="72" t="s">
        <v>276</v>
      </c>
      <c r="C4" s="72"/>
    </row>
    <row r="5" spans="2:3" x14ac:dyDescent="0.3">
      <c r="B5" s="61" t="s">
        <v>277</v>
      </c>
      <c r="C5" s="62" t="s">
        <v>278</v>
      </c>
    </row>
    <row r="6" spans="2:3" x14ac:dyDescent="0.3">
      <c r="B6" s="61" t="s">
        <v>279</v>
      </c>
      <c r="C6" s="62" t="s">
        <v>280</v>
      </c>
    </row>
    <row r="7" spans="2:3" x14ac:dyDescent="0.3">
      <c r="B7" s="61" t="s">
        <v>281</v>
      </c>
      <c r="C7" s="62" t="s">
        <v>282</v>
      </c>
    </row>
    <row r="8" spans="2:3" x14ac:dyDescent="0.3">
      <c r="B8" s="61" t="s">
        <v>283</v>
      </c>
      <c r="C8" s="62" t="s">
        <v>284</v>
      </c>
    </row>
    <row r="9" spans="2:3" x14ac:dyDescent="0.3">
      <c r="B9" s="61" t="s">
        <v>285</v>
      </c>
      <c r="C9" s="62" t="s">
        <v>286</v>
      </c>
    </row>
    <row r="10" spans="2:3" x14ac:dyDescent="0.3">
      <c r="B10" s="61" t="s">
        <v>287</v>
      </c>
      <c r="C10" s="62" t="s">
        <v>288</v>
      </c>
    </row>
    <row r="11" spans="2:3" ht="6" customHeight="1" x14ac:dyDescent="0.3"/>
    <row r="12" spans="2:3" ht="21.75" customHeight="1" x14ac:dyDescent="0.3">
      <c r="B12" s="72" t="s">
        <v>289</v>
      </c>
      <c r="C12" s="72"/>
    </row>
    <row r="13" spans="2:3" x14ac:dyDescent="0.3">
      <c r="B13" s="61" t="s">
        <v>290</v>
      </c>
      <c r="C13" s="62" t="s">
        <v>291</v>
      </c>
    </row>
    <row r="14" spans="2:3" x14ac:dyDescent="0.3">
      <c r="B14" s="61" t="s">
        <v>292</v>
      </c>
      <c r="C14" s="62" t="s">
        <v>293</v>
      </c>
    </row>
    <row r="15" spans="2:3" x14ac:dyDescent="0.3">
      <c r="B15" s="61" t="s">
        <v>294</v>
      </c>
      <c r="C15" s="62" t="s">
        <v>295</v>
      </c>
    </row>
    <row r="16" spans="2:3" x14ac:dyDescent="0.3">
      <c r="B16" s="61" t="s">
        <v>296</v>
      </c>
      <c r="C16" s="62" t="s">
        <v>297</v>
      </c>
    </row>
    <row r="17" spans="2:3" x14ac:dyDescent="0.3">
      <c r="B17" s="61" t="s">
        <v>298</v>
      </c>
      <c r="C17" s="62" t="s">
        <v>299</v>
      </c>
    </row>
    <row r="18" spans="2:3" x14ac:dyDescent="0.3">
      <c r="B18" s="61" t="s">
        <v>300</v>
      </c>
      <c r="C18" s="62" t="s">
        <v>301</v>
      </c>
    </row>
    <row r="19" spans="2:3" x14ac:dyDescent="0.3">
      <c r="B19" s="61" t="s">
        <v>302</v>
      </c>
      <c r="C19" s="62" t="s">
        <v>303</v>
      </c>
    </row>
    <row r="20" spans="2:3" x14ac:dyDescent="0.3">
      <c r="B20" s="61" t="s">
        <v>304</v>
      </c>
      <c r="C20" s="62" t="s">
        <v>305</v>
      </c>
    </row>
    <row r="21" spans="2:3" ht="6" customHeight="1" x14ac:dyDescent="0.3"/>
    <row r="22" spans="2:3" ht="21.75" customHeight="1" x14ac:dyDescent="0.3">
      <c r="B22" s="72" t="s">
        <v>306</v>
      </c>
      <c r="C22" s="72"/>
    </row>
    <row r="23" spans="2:3" x14ac:dyDescent="0.3">
      <c r="B23" s="61" t="s">
        <v>307</v>
      </c>
      <c r="C23" s="62" t="s">
        <v>308</v>
      </c>
    </row>
    <row r="24" spans="2:3" x14ac:dyDescent="0.3">
      <c r="B24" s="61" t="s">
        <v>309</v>
      </c>
      <c r="C24" s="62" t="s">
        <v>310</v>
      </c>
    </row>
    <row r="25" spans="2:3" x14ac:dyDescent="0.3">
      <c r="B25" s="61" t="s">
        <v>311</v>
      </c>
      <c r="C25" s="62" t="s">
        <v>312</v>
      </c>
    </row>
    <row r="26" spans="2:3" x14ac:dyDescent="0.3">
      <c r="B26" s="61" t="s">
        <v>313</v>
      </c>
      <c r="C26" s="62" t="s">
        <v>314</v>
      </c>
    </row>
    <row r="27" spans="2:3" x14ac:dyDescent="0.3">
      <c r="B27" s="61" t="s">
        <v>315</v>
      </c>
      <c r="C27" s="62" t="s">
        <v>316</v>
      </c>
    </row>
    <row r="28" spans="2:3" ht="6" customHeight="1" x14ac:dyDescent="0.3"/>
    <row r="29" spans="2:3" ht="21.75" customHeight="1" x14ac:dyDescent="0.3">
      <c r="B29" s="72" t="s">
        <v>317</v>
      </c>
      <c r="C29" s="72"/>
    </row>
    <row r="30" spans="2:3" x14ac:dyDescent="0.3">
      <c r="B30" s="61" t="s">
        <v>318</v>
      </c>
      <c r="C30" s="62" t="s">
        <v>319</v>
      </c>
    </row>
    <row r="31" spans="2:3" x14ac:dyDescent="0.3">
      <c r="B31" s="61" t="s">
        <v>307</v>
      </c>
      <c r="C31" s="62" t="s">
        <v>320</v>
      </c>
    </row>
    <row r="32" spans="2:3" x14ac:dyDescent="0.3">
      <c r="B32" s="61" t="s">
        <v>309</v>
      </c>
      <c r="C32" s="62" t="s">
        <v>321</v>
      </c>
    </row>
    <row r="33" spans="2:3" x14ac:dyDescent="0.3">
      <c r="B33" s="61" t="s">
        <v>322</v>
      </c>
      <c r="C33" s="62" t="s">
        <v>323</v>
      </c>
    </row>
    <row r="34" spans="2:3" x14ac:dyDescent="0.3">
      <c r="B34" s="61" t="s">
        <v>324</v>
      </c>
      <c r="C34" s="62" t="s">
        <v>325</v>
      </c>
    </row>
    <row r="35" spans="2:3" x14ac:dyDescent="0.3">
      <c r="B35" s="61" t="s">
        <v>326</v>
      </c>
      <c r="C35" s="62" t="s">
        <v>327</v>
      </c>
    </row>
    <row r="36" spans="2:3" x14ac:dyDescent="0.3">
      <c r="B36" s="61" t="s">
        <v>328</v>
      </c>
      <c r="C36" s="62" t="s">
        <v>329</v>
      </c>
    </row>
    <row r="37" spans="2:3" x14ac:dyDescent="0.3">
      <c r="B37" s="61" t="s">
        <v>330</v>
      </c>
      <c r="C37" s="62" t="s">
        <v>331</v>
      </c>
    </row>
    <row r="38" spans="2:3" x14ac:dyDescent="0.3">
      <c r="B38" s="61" t="s">
        <v>332</v>
      </c>
      <c r="C38" s="62" t="s">
        <v>333</v>
      </c>
    </row>
    <row r="39" spans="2:3" ht="6" customHeight="1" x14ac:dyDescent="0.3"/>
    <row r="40" spans="2:3" ht="21.75" customHeight="1" x14ac:dyDescent="0.3">
      <c r="B40" s="72" t="s">
        <v>334</v>
      </c>
      <c r="C40" s="72"/>
    </row>
    <row r="41" spans="2:3" x14ac:dyDescent="0.3">
      <c r="B41" s="61" t="s">
        <v>335</v>
      </c>
      <c r="C41" s="62" t="s">
        <v>336</v>
      </c>
    </row>
    <row r="42" spans="2:3" x14ac:dyDescent="0.3">
      <c r="B42" s="61" t="s">
        <v>337</v>
      </c>
      <c r="C42" s="62" t="s">
        <v>338</v>
      </c>
    </row>
    <row r="43" spans="2:3" x14ac:dyDescent="0.3">
      <c r="B43" s="61" t="s">
        <v>339</v>
      </c>
      <c r="C43" s="62" t="s">
        <v>340</v>
      </c>
    </row>
    <row r="44" spans="2:3" x14ac:dyDescent="0.3">
      <c r="B44" s="61" t="s">
        <v>341</v>
      </c>
      <c r="C44" s="62" t="s">
        <v>342</v>
      </c>
    </row>
    <row r="45" spans="2:3" x14ac:dyDescent="0.3">
      <c r="B45" s="61" t="s">
        <v>343</v>
      </c>
      <c r="C45" s="62" t="s">
        <v>344</v>
      </c>
    </row>
    <row r="46" spans="2:3" x14ac:dyDescent="0.3">
      <c r="B46" s="61" t="s">
        <v>345</v>
      </c>
      <c r="C46" s="62" t="s">
        <v>346</v>
      </c>
    </row>
    <row r="47" spans="2:3" ht="6" customHeight="1" x14ac:dyDescent="0.3"/>
    <row r="48" spans="2:3" ht="21.75" customHeight="1" x14ac:dyDescent="0.3">
      <c r="B48" s="72" t="s">
        <v>347</v>
      </c>
      <c r="C48" s="72"/>
    </row>
    <row r="49" spans="2:3" x14ac:dyDescent="0.3">
      <c r="B49" s="61" t="s">
        <v>348</v>
      </c>
      <c r="C49" s="62" t="s">
        <v>349</v>
      </c>
    </row>
    <row r="50" spans="2:3" x14ac:dyDescent="0.3">
      <c r="B50" s="61" t="s">
        <v>350</v>
      </c>
      <c r="C50" s="62" t="s">
        <v>351</v>
      </c>
    </row>
    <row r="51" spans="2:3" x14ac:dyDescent="0.3">
      <c r="B51" s="61" t="s">
        <v>352</v>
      </c>
      <c r="C51" s="62" t="s">
        <v>353</v>
      </c>
    </row>
    <row r="52" spans="2:3" x14ac:dyDescent="0.3">
      <c r="B52" s="61" t="s">
        <v>354</v>
      </c>
      <c r="C52" s="62" t="s">
        <v>355</v>
      </c>
    </row>
    <row r="53" spans="2:3" x14ac:dyDescent="0.3">
      <c r="B53" s="61" t="s">
        <v>356</v>
      </c>
      <c r="C53" s="62" t="s">
        <v>357</v>
      </c>
    </row>
    <row r="54" spans="2:3" x14ac:dyDescent="0.3">
      <c r="B54" s="61" t="s">
        <v>358</v>
      </c>
      <c r="C54" s="62" t="s">
        <v>359</v>
      </c>
    </row>
    <row r="55" spans="2:3" x14ac:dyDescent="0.3">
      <c r="B55" s="61" t="s">
        <v>360</v>
      </c>
      <c r="C55" s="62" t="s">
        <v>361</v>
      </c>
    </row>
    <row r="56" spans="2:3" x14ac:dyDescent="0.3">
      <c r="B56" s="61" t="s">
        <v>362</v>
      </c>
      <c r="C56" s="62" t="s">
        <v>363</v>
      </c>
    </row>
  </sheetData>
  <mergeCells count="7">
    <mergeCell ref="B40:C40"/>
    <mergeCell ref="B48:C48"/>
    <mergeCell ref="B2:C2"/>
    <mergeCell ref="B4:C4"/>
    <mergeCell ref="B12:C12"/>
    <mergeCell ref="B22:C22"/>
    <mergeCell ref="B29:C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Détail V1</vt:lpstr>
      <vt:lpstr>Détail V2</vt:lpstr>
      <vt:lpstr>Macroplanning</vt:lpstr>
      <vt:lpstr>Marge et risques</vt:lpstr>
      <vt:lpstr>Charges complémentaires</vt:lpstr>
      <vt:lpstr>Hypothèses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Thierry RANDRIANTIANA</cp:lastModifiedBy>
  <cp:revision>0</cp:revision>
  <dcterms:created xsi:type="dcterms:W3CDTF">2026-06-16T19:01:39Z</dcterms:created>
  <dcterms:modified xsi:type="dcterms:W3CDTF">2026-06-17T11:11:09Z</dcterms:modified>
  <dc:language>en-US</dc:language>
</cp:coreProperties>
</file>