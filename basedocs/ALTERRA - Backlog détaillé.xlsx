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V1" sheetId="1" state="visible" r:id="rId3"/>
    <sheet name="Backlog V2" sheetId="2" state="visible" r:id="rId4"/>
    <sheet name="Synthèse" sheetId="3" state="visible" r:id="rId5"/>
    <sheet name="Hypothè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<sst xmlns="http://schemas.openxmlformats.org/spreadsheetml/2006/main" count="658" uniqueCount="577">
  <si>
    <t xml:space="preserve">Use Case</t>
  </si>
  <si>
    <t xml:space="preserve">User Story</t>
  </si>
  <si>
    <t xml:space="preserve">Acteur</t>
  </si>
  <si>
    <t xml:space="preserve">Tâche principale</t>
  </si>
  <si>
    <t xml:space="preserve">Description</t>
  </si>
  <si>
    <t xml:space="preserve">Estim.
UI/Frontend
(j/h)</t>
  </si>
  <si>
    <t xml:space="preserve">Estim.
Backend/Logique
(j/h)</t>
  </si>
  <si>
    <t xml:space="preserve">Total
(j/h)</t>
  </si>
  <si>
    <t xml:space="preserve">SPRINT 1 (S1-S2) — Cadrage et socle technique · Objectif : spec figée, backend démarrable</t>
  </si>
  <si>
    <t xml:space="preserve">SECTION A — CADRAGE ET DESIGN</t>
  </si>
  <si>
    <t xml:space="preserve">Module CAD — Cadrage projet</t>
  </si>
  <si>
    <t xml:space="preserve">UC-CAD-01</t>
  </si>
  <si>
    <t xml:space="preserve">En tant que PO, je veux animer un atelier métier avec ALTERRA afin de figer le workflow réel</t>
  </si>
  <si>
    <t xml:space="preserve">PO / Tech Lead</t>
  </si>
  <si>
    <t xml:space="preserve">Atelier métier</t>
  </si>
  <si>
    <t xml:space="preserve">Ateliers de cadrage sur 2-3 demi-journées. Écoute des CDS et Admin. Modélisation processus. Identification règles précises (biométrie, MVola, cycle campagne).</t>
  </si>
  <si>
    <t xml:space="preserve">UC-CAD-02</t>
  </si>
  <si>
    <t xml:space="preserve">En tant que dev, je veux une spec détaillée + user stories priorisées afin de savoir quoi coder</t>
  </si>
  <si>
    <t xml:space="preserve">PO</t>
  </si>
  <si>
    <t xml:space="preserve">Spec + backlog</t>
  </si>
  <si>
    <t xml:space="preserve">Rédaction user stories par module, critères d'acceptation, priorisation MoSCoW, découpage sprints.</t>
  </si>
  <si>
    <t xml:space="preserve">UC-CAD-03</t>
  </si>
  <si>
    <t xml:space="preserve">En tant que dev, je veux des maquettes Figma des écrans clés afin d'avoir une cible visuelle</t>
  </si>
  <si>
    <t xml:space="preserve">UX / Tech Lead</t>
  </si>
  <si>
    <t xml:space="preserve">Maquettes Figma</t>
  </si>
  <si>
    <t xml:space="preserve">Wireframes puis maquettes des écrans critiques : Dashboard Admin, Saisie en lot PWA CDE, Validation CDS, Bordereau paiement.</t>
  </si>
  <si>
    <t xml:space="preserve">Sous-total Module CAD — Cadrage projet</t>
  </si>
  <si>
    <t xml:space="preserve">SECTION B — BACKEND SOCLE (NestJS · Prisma · PostgreSQL)</t>
  </si>
  <si>
    <t xml:space="preserve">Module BE-0 — Setup et infrastructure</t>
  </si>
  <si>
    <t xml:space="preserve">UC-BE-SETUP</t>
  </si>
  <si>
    <t xml:space="preserve">En tant que dev, je veux un monorepo pnpm workspaces avec Turborepo afin de partager code et types</t>
  </si>
  <si>
    <t xml:space="preserve">Développeur</t>
  </si>
  <si>
    <t xml:space="preserve">Init monorepo</t>
  </si>
  <si>
    <t xml:space="preserve">pnpm-workspace.yaml, turbo.json, ESLint/Prettier partagés, tsconfig strict, path aliases @alterra/ui @alterra/api-types.</t>
  </si>
  <si>
    <t xml:space="preserve">En tant que dev, je veux NestJS 10 + Fastify + Prisma initialisés afin de démarrer l'API</t>
  </si>
  <si>
    <t xml:space="preserve">Init NestJS</t>
  </si>
  <si>
    <t xml:space="preserve">nest new, migration Fastify, Prisma init, connection PostgreSQL, healthcheck endpoint /health.</t>
  </si>
  <si>
    <t xml:space="preserve">En tant que DevOps, je veux un Docker Compose local afin de développer en environnement identique à la prod</t>
  </si>
  <si>
    <t xml:space="preserve">Docker Compose dev</t>
  </si>
  <si>
    <t xml:space="preserve">Compose avec api + postgres + redis + minio. .env.example. Documentation démarrage.</t>
  </si>
  <si>
    <t xml:space="preserve">Sous-total Module BE-0 — Setup et infrastructure</t>
  </si>
  <si>
    <t xml:space="preserve">Module BE-DB — Modèle de données</t>
  </si>
  <si>
    <t xml:space="preserve">UC-BE-SCHEMA</t>
  </si>
  <si>
    <t xml:space="preserve">En tant que dev, je veux un schéma Prisma V1 complet afin de coder sur des types stables</t>
  </si>
  <si>
    <t xml:space="preserve">Schéma Prisma V1</t>
  </si>
  <si>
    <t xml:space="preserve">13 modèles V1 : User, Site, Activity, Worker, Team, Pointage, Payment, BiometricCheck, AuditLog, RefreshToken, PasswordReset. Enums.</t>
  </si>
  <si>
    <t xml:space="preserve">UC-BE-MIGR</t>
  </si>
  <si>
    <t xml:space="preserve">En tant que dev, je veux les migrations Prisma versionnées + seed déterministe afin de reproduire l'état de dev</t>
  </si>
  <si>
    <t xml:space="preserve">Migrations + seed</t>
  </si>
  <si>
    <t xml:space="preserve">prisma migrate dev + fichier seed.ts avec fixtures : 1 admin, 5 CDS, 15 CDE, 5 sites, 10 activités, 50 MOC test.</t>
  </si>
  <si>
    <t xml:space="preserve">Sous-total Module BE-DB — Modèle de données</t>
  </si>
  <si>
    <t xml:space="preserve">Module BE-AUTH — Authentification</t>
  </si>
  <si>
    <t xml:space="preserve">UC-BE-AUTH</t>
  </si>
  <si>
    <t xml:space="preserve">En tant qu'utilisateur, je veux me connecter avec email/mot de passe afin d'accéder à la plateforme</t>
  </si>
  <si>
    <t xml:space="preserve">Admin / CDS</t>
  </si>
  <si>
    <t xml:space="preserve">POST /auth/login</t>
  </si>
  <si>
    <t xml:space="preserve">Argon2id password, JWT HS256 access 15 min + refresh cookie 7j HttpOnly. Réponse { accessToken, user }.</t>
  </si>
  <si>
    <t xml:space="preserve">En tant qu'utilisateur, je veux rafraîchir mon token silencieusement afin de rester connecté</t>
  </si>
  <si>
    <t xml:space="preserve">Tous</t>
  </si>
  <si>
    <t xml:space="preserve">POST /auth/refresh</t>
  </si>
  <si>
    <t xml:space="preserve">Rotation refresh token, blacklist ancien en Redis. Renvoi nouveau access.</t>
  </si>
  <si>
    <t xml:space="preserve">En tant qu'utilisateur, je veux me déconnecter et invalider mes sessions</t>
  </si>
  <si>
    <t xml:space="preserve">POST /auth/logout</t>
  </si>
  <si>
    <t xml:space="preserve">Révoque refresh, blacklist Redis. Suppression cookie.</t>
  </si>
  <si>
    <t xml:space="preserve">En tant qu'Admin, je veux activer MFA TOTP sur mon compte afin de renforcer la sécurité</t>
  </si>
  <si>
    <t xml:space="preserve">Admin</t>
  </si>
  <si>
    <t xml:space="preserve">MFA TOTP</t>
  </si>
  <si>
    <t xml:space="preserve">Génération secret, QR code, vérification 6 chiffres. Secret chiffré en base.</t>
  </si>
  <si>
    <t xml:space="preserve">Sous-total Module BE-AUTH — Authentification</t>
  </si>
  <si>
    <t xml:space="preserve">Module BE-RBAC — RBAC et audit</t>
  </si>
  <si>
    <t xml:space="preserve">UC-BE-RBAC</t>
  </si>
  <si>
    <t xml:space="preserve">En tant que dev, je veux un guard @Roles() paramétrable afin de contrôler l'accès aux endpoints</t>
  </si>
  <si>
    <t xml:space="preserve">RolesGuard NestJS</t>
  </si>
  <si>
    <t xml:space="preserve">Décorateur @Roles + RolesGuard vérifiant JWT payload. Erreur 403 typée.</t>
  </si>
  <si>
    <t xml:space="preserve">En tant que dev, je veux un middleware Prisma qui injecte les filtres par site/équipe</t>
  </si>
  <si>
    <t xml:space="preserve">Prisma RLS middleware</t>
  </si>
  <si>
    <t xml:space="preserve">AsyncLocalStorage stocke user. Middleware ajoute WHERE siteId=user.siteId pour CDS, teamId pour CDE.</t>
  </si>
  <si>
    <t xml:space="preserve">UC-BE-AUDIT</t>
  </si>
  <si>
    <t xml:space="preserve">En tant qu'Admin, je veux un audit log complet des actions sensibles afin de tracer toute modification</t>
  </si>
  <si>
    <t xml:space="preserve">Audit log</t>
  </si>
  <si>
    <t xml:space="preserve">Interceptor global + triggers PostgreSQL sur Worker, Pointage, Payment. Table audit_log append-only.</t>
  </si>
  <si>
    <t xml:space="preserve">Sous-total Module BE-RBAC — RBAC et audit</t>
  </si>
  <si>
    <t xml:space="preserve">SPRINT 2 (S3-S4) — API métier V1 · Objectif : API fonctionnelle en sandbox</t>
  </si>
  <si>
    <t xml:space="preserve">SECTION B — BACKEND API MÉTIER</t>
  </si>
  <si>
    <t xml:space="preserve">Module BE-REF — Référentiels</t>
  </si>
  <si>
    <t xml:space="preserve">UC-BE-SITES</t>
  </si>
  <si>
    <t xml:space="preserve">En tant qu'Admin, je veux CRUD sur les sites afin de gérer les 5 sites ALTERRA</t>
  </si>
  <si>
    <t xml:space="preserve">CRUD /sites</t>
  </si>
  <si>
    <t xml:space="preserve">5 endpoints REST. Validation Zod : nom, shortCode unique, geo. Audit.</t>
  </si>
  <si>
    <t xml:space="preserve">UC-BE-ACT</t>
  </si>
  <si>
    <t xml:space="preserve">En tant qu'Admin, je veux CRUD sur les activités avec versioning tarif afin de gérer trouaison, défrichage, etc.</t>
  </si>
  <si>
    <t xml:space="preserve">CRUD /activities</t>
  </si>
  <si>
    <t xml:space="preserve">5 endpoints. Modification tarif = fermeture ancien + création nouveau (RG-04). Historique préservé.</t>
  </si>
  <si>
    <t xml:space="preserve">UC-BE-WORKERS</t>
  </si>
  <si>
    <t xml:space="preserve">En tant qu'Admin, je veux CRUD sur les MOC afin de gérer la base des travailleurs</t>
  </si>
  <si>
    <t xml:space="preserve">CRUD /workers</t>
  </si>
  <si>
    <t xml:space="preserve">5 endpoints. Filtres site/team/status. Recherche full-text. Upload photo via URL pré-signée.</t>
  </si>
  <si>
    <t xml:space="preserve">UC-BE-IMPORT</t>
  </si>
  <si>
    <t xml:space="preserve">En tant qu'Admin, je veux importer une liste de MOC depuis Excel afin d'onboarder rapidement</t>
  </si>
  <si>
    <t xml:space="preserve">POST /workers/import</t>
  </si>
  <si>
    <t xml:space="preserve">Parse xlsx via exceljs. Validation ligne par ligne. Preview avec erreurs. Insertion transactionnelle.</t>
  </si>
  <si>
    <t xml:space="preserve">UC-BE-USERS</t>
  </si>
  <si>
    <t xml:space="preserve">En tant qu'Admin, je veux CRUD sur les comptes utilisateurs afin de gérer les CDS et CDE</t>
  </si>
  <si>
    <t xml:space="preserve">CRUD /users</t>
  </si>
  <si>
    <t xml:space="preserve">5 endpoints. Réinitialisation mot de passe forcée. Désactivation immédiate + blacklist Redis.</t>
  </si>
  <si>
    <t xml:space="preserve">Sous-total Module BE-REF — Référentiels</t>
  </si>
  <si>
    <t xml:space="preserve">Module BE-PNT — Pointages</t>
  </si>
  <si>
    <t xml:space="preserve">UC-BE-PNT-SYNC</t>
  </si>
  <si>
    <t xml:space="preserve">En tant que CDE, je veux synchroniser un batch de pointages afin de remonter mes saisies offline</t>
  </si>
  <si>
    <t xml:space="preserve">CDE</t>
  </si>
  <si>
    <t xml:space="preserve">POST /pointages/sync</t>
  </si>
  <si>
    <t xml:space="preserve">Batch ≤100. Upsert via clientUuid @unique. Retour par ligne created/already_exists/rejected. Idempotent.</t>
  </si>
  <si>
    <t xml:space="preserve">UC-BE-PNT-LIST</t>
  </si>
  <si>
    <t xml:space="preserve">En tant que CDS/Admin, je veux consulter les pointages filtrés afin de préparer la validation</t>
  </si>
  <si>
    <t xml:space="preserve">CDS / Admin</t>
  </si>
  <si>
    <t xml:space="preserve">GET /pointages</t>
  </si>
  <si>
    <t xml:space="preserve">Cursor pagination 50. Filtres période, worker, activity, status. Sous-requête bio.</t>
  </si>
  <si>
    <t xml:space="preserve">UC-BE-PNT-VAL</t>
  </si>
  <si>
    <t xml:space="preserve">En tant que CDS, je veux valider/rejeter un pointage unitaire</t>
  </si>
  <si>
    <t xml:space="preserve">CDS</t>
  </si>
  <si>
    <t xml:space="preserve">PATCH /pointages/:id/validate|reject</t>
  </si>
  <si>
    <t xml:space="preserve">Vérification bio OK avant validation. Motif obligatoire au rejet.</t>
  </si>
  <si>
    <t xml:space="preserve">UC-BE-PNT-COR</t>
  </si>
  <si>
    <t xml:space="preserve">En tant qu'Admin, je veux corriger un pointage avec motif afin de gérer les erreurs</t>
  </si>
  <si>
    <t xml:space="preserve">PATCH /pointages/:id</t>
  </si>
  <si>
    <t xml:space="preserve">Modification quantité, activity, date. Motif obligatoire. Trace complète audit.</t>
  </si>
  <si>
    <t xml:space="preserve">Sous-total Module BE-PNT — Pointages</t>
  </si>
  <si>
    <t xml:space="preserve">Module BE-PAY — Paiements</t>
  </si>
  <si>
    <t xml:space="preserve">UC-BE-PAY-GEN</t>
  </si>
  <si>
    <t xml:space="preserve">En tant qu'Admin, je veux générer le bordereau de paiement d'une période afin d'établir les montants dus</t>
  </si>
  <si>
    <t xml:space="preserve">POST /payments/generate</t>
  </si>
  <si>
    <t xml:space="preserve">Agrégation pointages VALIDATED. Calcul quantity * unitRateSnapshot. Création lignes Payment. Statut PENDING.</t>
  </si>
  <si>
    <t xml:space="preserve">UC-BE-PAY-EXP</t>
  </si>
  <si>
    <t xml:space="preserve">En tant qu'Admin, je veux exporter le fichier Excel MVola afin de soumettre le paiement</t>
  </si>
  <si>
    <t xml:space="preserve">GET /payments/:period/export</t>
  </si>
  <si>
    <t xml:space="preserve">Génération xlsx via exceljs. 5 colonnes MVola. Description tronquée si &gt; limite. Statut EXPORTED.</t>
  </si>
  <si>
    <t xml:space="preserve">UC-BE-PAY-IMP</t>
  </si>
  <si>
    <t xml:space="preserve">En tant qu'Admin, je veux importer le fichier retour MVola afin de mettre à jour les statuts</t>
  </si>
  <si>
    <t xml:space="preserve">POST /payments/import-status</t>
  </si>
  <si>
    <t xml:space="preserve">Parse xlsx. Match par numéro MVola + montant. Update PAID/FAILED. Rapport d'import.</t>
  </si>
  <si>
    <t xml:space="preserve">Sous-total Module BE-PAY — Paiements</t>
  </si>
  <si>
    <t xml:space="preserve">SECTION C — FRONTEND ADMIN (React SPA)</t>
  </si>
  <si>
    <t xml:space="preserve">Module FE-ADMIN-0 — Setup</t>
  </si>
  <si>
    <t xml:space="preserve">UC-FE-ADM-SETUP</t>
  </si>
  <si>
    <t xml:space="preserve">En tant que dev, je veux React + Vite + shadcn/ui + Tailwind + TanStack Query initialisés</t>
  </si>
  <si>
    <t xml:space="preserve">Init frontend Admin</t>
  </si>
  <si>
    <t xml:space="preserve">Vite React TS. Tailwind. shadcn/ui components de base (Button, Input, Table, Dialog, Toast). Router.</t>
  </si>
  <si>
    <t xml:space="preserve">UC-FE-ADM-AUTH</t>
  </si>
  <si>
    <t xml:space="preserve">En tant qu'Admin, je veux une page de connexion et navigation post-login</t>
  </si>
  <si>
    <t xml:space="preserve">Login + navigation</t>
  </si>
  <si>
    <t xml:space="preserve">Login form, intercepteur axios refresh, guards vues, layout avec sidebar rétractable + header.</t>
  </si>
  <si>
    <t xml:space="preserve">Sous-total Module FE-ADMIN-0 — Setup</t>
  </si>
  <si>
    <t xml:space="preserve">Module FE-ADMIN-DASH — Dashboard</t>
  </si>
  <si>
    <t xml:space="preserve">UC-FE-ADM-KPI</t>
  </si>
  <si>
    <t xml:space="preserve">En tant qu'Admin, je veux voir les KPI et graphes clés en un coup d'œil</t>
  </si>
  <si>
    <t xml:space="preserve">Dashboard KPIs</t>
  </si>
  <si>
    <t xml:space="preserve">4 KPI cards, graphe présence 7j, graphe évolution effectifs, bloc alertes. Refresh 60s TanStack Query.</t>
  </si>
  <si>
    <t xml:space="preserve">Sous-total Module FE-ADMIN-DASH — Dashboard</t>
  </si>
  <si>
    <t xml:space="preserve">SPRINT 3 (S5-S6) — Frontend Admin complet + PWA démarrage · Objectif : Admin utilisable</t>
  </si>
  <si>
    <t xml:space="preserve">Module FE-ADMIN-REF — Référentiels</t>
  </si>
  <si>
    <t xml:space="preserve">UC-FE-ADM-SITES</t>
  </si>
  <si>
    <t xml:space="preserve">En tant qu'Admin, je veux CRUD Sites côté UI</t>
  </si>
  <si>
    <t xml:space="preserve">UI Sites</t>
  </si>
  <si>
    <t xml:space="preserve">Table paginée, actions Nouveau/Modifier/Désactiver, formulaire modal avec validation.</t>
  </si>
  <si>
    <t xml:space="preserve">UC-FE-ADM-ACT</t>
  </si>
  <si>
    <t xml:space="preserve">En tant qu'Admin, je veux CRUD Activités avec historique tarifs</t>
  </si>
  <si>
    <t xml:space="preserve">UI Activités</t>
  </si>
  <si>
    <t xml:space="preserve">Table, formulaire, historique versioning tarif dans un drawer.</t>
  </si>
  <si>
    <t xml:space="preserve">UC-FE-ADM-WORKERS</t>
  </si>
  <si>
    <t xml:space="preserve">En tant qu'Admin, je veux gérer les MOC avec recherche/filtres/import</t>
  </si>
  <si>
    <t xml:space="preserve">UI MOC</t>
  </si>
  <si>
    <t xml:space="preserve">Table 600+ lignes cursor-based, filtres avancés, formulaire fiche avec upload photo, import Excel drag&amp;drop.</t>
  </si>
  <si>
    <t xml:space="preserve">UC-FE-ADM-USERS</t>
  </si>
  <si>
    <t xml:space="preserve">En tant qu'Admin, je veux gérer les comptes utilisateurs</t>
  </si>
  <si>
    <t xml:space="preserve">UI Users</t>
  </si>
  <si>
    <t xml:space="preserve">Table, formulaire, réinitialisation mot de passe, activation/désactivation.</t>
  </si>
  <si>
    <t xml:space="preserve">Sous-total Module FE-ADMIN-REF — Référentiels</t>
  </si>
  <si>
    <t xml:space="preserve">Module FE-ADMIN-PNT — Pointages</t>
  </si>
  <si>
    <t xml:space="preserve">UC-FE-ADM-PNT</t>
  </si>
  <si>
    <t xml:space="preserve">En tant qu'Admin, je veux consulter et corriger les pointages</t>
  </si>
  <si>
    <t xml:space="preserve">UI Pointages</t>
  </si>
  <si>
    <t xml:space="preserve">Table filtrable, photo miniature, drawer détail avec géoloc, correction avec motif obligatoire.</t>
  </si>
  <si>
    <t xml:space="preserve">Sous-total Module FE-ADMIN-PNT — Pointages</t>
  </si>
  <si>
    <t xml:space="preserve">Module FE-ADMIN-PAY — Paiements</t>
  </si>
  <si>
    <t xml:space="preserve">UC-FE-ADM-PAY-BORD</t>
  </si>
  <si>
    <t xml:space="preserve">En tant qu'Admin, je veux générer et corriger le bordereau</t>
  </si>
  <si>
    <t xml:space="preserve">UI Bordereau</t>
  </si>
  <si>
    <t xml:space="preserve">Sélection période, table 600 lignes avec statut bio, édition inline montant avec motif.</t>
  </si>
  <si>
    <t xml:space="preserve">UC-FE-ADM-PAY-EXP</t>
  </si>
  <si>
    <t xml:space="preserve">En tant qu'Admin, je veux exporter le fichier Excel MVola</t>
  </si>
  <si>
    <t xml:space="preserve">UI Export MVola</t>
  </si>
  <si>
    <t xml:space="preserve">Bouton Exporter, download progression, historique exports téléchargeables.</t>
  </si>
  <si>
    <t xml:space="preserve">UC-FE-ADM-PAY-IMP</t>
  </si>
  <si>
    <t xml:space="preserve">En tant qu'Admin, je veux importer le fichier retour MVola</t>
  </si>
  <si>
    <t xml:space="preserve">UI Import statuts</t>
  </si>
  <si>
    <t xml:space="preserve">Drag&amp;drop, preview, résumé PAID/FAILED avec motifs.</t>
  </si>
  <si>
    <t xml:space="preserve">Sous-total Module FE-ADMIN-PAY — Paiements</t>
  </si>
  <si>
    <t xml:space="preserve">Module FE-ADMIN-REP — Reporting + Audit</t>
  </si>
  <si>
    <t xml:space="preserve">UC-FE-ADM-REP</t>
  </si>
  <si>
    <t xml:space="preserve">En tant qu'Admin, je veux des rapports prédéfinis et exports</t>
  </si>
  <si>
    <t xml:space="preserve">UI Reporting</t>
  </si>
  <si>
    <t xml:space="preserve">3 rapports prédéfinis, filtres période, exports CSV/Excel/PDF via jobs.</t>
  </si>
  <si>
    <t xml:space="preserve">UC-FE-ADM-AUDIT</t>
  </si>
  <si>
    <t xml:space="preserve">En tant qu'Admin, je veux consulter le journal d'audit</t>
  </si>
  <si>
    <t xml:space="preserve">UI Audit log</t>
  </si>
  <si>
    <t xml:space="preserve">Table paginée, filtres, drawer avec diff avant/après en JSON tree.</t>
  </si>
  <si>
    <t xml:space="preserve">Sous-total Module FE-ADMIN-REP — Reporting + Audit</t>
  </si>
  <si>
    <t xml:space="preserve">SECTION D — FRONTEND PWA (React + PWA + Dexie)</t>
  </si>
  <si>
    <t xml:space="preserve">Module FE-PWA-0 — Setup PWA</t>
  </si>
  <si>
    <t xml:space="preserve">UC-FE-PWA-SETUP</t>
  </si>
  <si>
    <t xml:space="preserve">En tant que dev, je veux la PWA Vite avec vite-plugin-pwa + Workbox + Dexie</t>
  </si>
  <si>
    <t xml:space="preserve">Init PWA</t>
  </si>
  <si>
    <t xml:space="preserve">manifest, Service Worker cache-first assets + network-first API, Dexie schema, dérivation icônes.</t>
  </si>
  <si>
    <t xml:space="preserve">UC-FE-PWA-AUTH</t>
  </si>
  <si>
    <t xml:space="preserve">En tant qu'utilisateur PWA, je veux me connecter avec cache offline du token</t>
  </si>
  <si>
    <t xml:space="preserve">CDE / CDS</t>
  </si>
  <si>
    <t xml:space="preserve">Login PWA offline</t>
  </si>
  <si>
    <t xml:space="preserve">Login form, storage token en IndexedDB chiffré WebCrypto, PIN de déverrouillage 30min.</t>
  </si>
  <si>
    <t xml:space="preserve">Sous-total Module FE-PWA-0 — Setup PWA</t>
  </si>
  <si>
    <t xml:space="preserve">SPRINT 4 (S7-S8) — PWA complète + Biométrie + Rapports · Objectif : cycle end-to-end démo</t>
  </si>
  <si>
    <t xml:space="preserve">Module FE-PWA-CDE — Chef d'Équipe</t>
  </si>
  <si>
    <t xml:space="preserve">UC-FE-PWA-DAY</t>
  </si>
  <si>
    <t xml:space="preserve">En tant que CDE, je veux sélectionner l'activité du jour</t>
  </si>
  <si>
    <t xml:space="preserve">Sélection activité</t>
  </si>
  <si>
    <t xml:space="preserve">Liste activités du référentiel cache, sélection unique avec confirmation.</t>
  </si>
  <si>
    <t xml:space="preserve">UC-FE-PWA-BATCH</t>
  </si>
  <si>
    <t xml:space="preserve">En tant que CDE, je veux saisir en lot les quantités des ~40 MOC</t>
  </si>
  <si>
    <t xml:space="preserve">Écran saisie en lot</t>
  </si>
  <si>
    <t xml:space="preserve">Liste MOC avec photo miniature, recherche instantanée, champ numérique par MOC, quantité par défaut appliquable, total prévisionnel.</t>
  </si>
  <si>
    <t xml:space="preserve">UC-FE-PWA-PHOTO</t>
  </si>
  <si>
    <t xml:space="preserve">En tant que CDE, je veux ajouter une photo à un pointage</t>
  </si>
  <si>
    <t xml:space="preserve">Capture photo</t>
  </si>
  <si>
    <t xml:space="preserve">Camera API, compression 1MB, prévisualisation, stockage blob IndexedDB.</t>
  </si>
  <si>
    <t xml:space="preserve">Sous-total Module FE-PWA-CDE — Chef d'Équipe</t>
  </si>
  <si>
    <t xml:space="preserve">Module FE-PWA-CDS — Chef de Service</t>
  </si>
  <si>
    <t xml:space="preserve">UC-FE-PWA-VAL</t>
  </si>
  <si>
    <t xml:space="preserve">En tant que CDS, je veux consulter et valider les pointages</t>
  </si>
  <si>
    <t xml:space="preserve">Écran validation</t>
  </si>
  <si>
    <t xml:space="preserve">Liste MOC groupée par équipe, indicateur bio + montant, actions par MOC.</t>
  </si>
  <si>
    <t xml:space="preserve">UC-FE-PWA-BIO</t>
  </si>
  <si>
    <t xml:space="preserve">En tant que CDS, je veux prendre une photo pour contrôle biométrique</t>
  </si>
  <si>
    <t xml:space="preserve">Capture bio + envoi</t>
  </si>
  <si>
    <t xml:space="preserve">Camera plein écran avec repère facial, envoi POST /biometric/check, affichage pastille résultat.</t>
  </si>
  <si>
    <t xml:space="preserve">Sous-total Module FE-PWA-CDS — Chef de Service</t>
  </si>
  <si>
    <t xml:space="preserve">Module FE-PWA-SYNC — Moteur de synchronisation</t>
  </si>
  <si>
    <t xml:space="preserve">UC-FE-PWA-SYNC-ENG</t>
  </si>
  <si>
    <t xml:space="preserve">En tant que CDE/CDS, je veux que mes données synchronisent automatiquement</t>
  </si>
  <si>
    <t xml:space="preserve">Tous PWA</t>
  </si>
  <si>
    <t xml:space="preserve">Sync engine</t>
  </si>
  <si>
    <t xml:space="preserve">Queue idempotente avec clientUuid, ping 60s, batch ≤100, retry backoff exponentiel, gestion conflits serveur autoritaire.</t>
  </si>
  <si>
    <t xml:space="preserve">UC-FE-PWA-SYNC-UI</t>
  </si>
  <si>
    <t xml:space="preserve">En tant que CDE, je veux voir mon statut de sync et forcer la sync</t>
  </si>
  <si>
    <t xml:space="preserve">UI sync + bouton forcer</t>
  </si>
  <si>
    <t xml:space="preserve">Indicateur permanent nombre en attente + dernière sync, bouton forcer, log récent.</t>
  </si>
  <si>
    <t xml:space="preserve">Sous-total Module FE-PWA-SYNC — Moteur de synchronisation</t>
  </si>
  <si>
    <t xml:space="preserve">SECTION E — MODULES SPÉCIFIQUES</t>
  </si>
  <si>
    <t xml:space="preserve">Module BE-BIO — Biométrie</t>
  </si>
  <si>
    <t xml:space="preserve">UC-BE-BIO-ADAPT</t>
  </si>
  <si>
    <t xml:space="preserve">En tant que dev, je veux un adapter biométrique interchangeable Mock/Manual/AXIAN</t>
  </si>
  <si>
    <t xml:space="preserve">Adapter pattern</t>
  </si>
  <si>
    <t xml:space="preserve">Interface BiometricProvider. 3 implémentations. Choix runtime via env BIOMETRIC_PROVIDER.</t>
  </si>
  <si>
    <t xml:space="preserve">UC-BE-BIO-AXIAN</t>
  </si>
  <si>
    <t xml:space="preserve">En tant que dev, je veux intégrer l'API AXIAN afin de valider les identités</t>
  </si>
  <si>
    <t xml:space="preserve">AxianBiometricProvider</t>
  </si>
  <si>
    <t xml:space="preserve">Axios client, authentification API Key, gestion erreurs 5xx → UNAVAILABLE, logs raw dans BiometricCheck.</t>
  </si>
  <si>
    <t xml:space="preserve">Sous-total Module BE-BIO — Biométrie</t>
  </si>
  <si>
    <t xml:space="preserve">Module BE-RPT — Rapports PDF</t>
  </si>
  <si>
    <t xml:space="preserve">UC-BE-RPT-WEEK</t>
  </si>
  <si>
    <t xml:space="preserve">En tant que CDS, je veux générer le rapport et facture hebdomadaires PDF</t>
  </si>
  <si>
    <t xml:space="preserve">Génération PDF hebdo</t>
  </si>
  <si>
    <t xml:space="preserve">Job BullMQ. Templates Handlebars → HTML → Puppeteer PDF. Stockage MinIO + notif email Admin.</t>
  </si>
  <si>
    <t xml:space="preserve">Sous-total Module BE-RPT — Rapports PDF</t>
  </si>
  <si>
    <t xml:space="preserve">SPRINT 5 (S9-S10) — Données, déploiement, tests, formation · Objectif : produit livrable</t>
  </si>
  <si>
    <t xml:space="preserve">SECTION F — DONNÉES ET DÉPLOIEMENT</t>
  </si>
  <si>
    <t xml:space="preserve">Module OPS-DATA — Migration initiale</t>
  </si>
  <si>
    <t xml:space="preserve">UC-OPS-IMPORT</t>
  </si>
  <si>
    <t xml:space="preserve">En tant qu'Admin, je veux importer les données initiales de la campagne</t>
  </si>
  <si>
    <t xml:space="preserve">Import initial</t>
  </si>
  <si>
    <t xml:space="preserve">Templates Excel fournis à ALTERRA. Import sites, activités, MOC. Validation métier. Rapport d'import archivé.</t>
  </si>
  <si>
    <t xml:space="preserve">Sous-total Module OPS-DATA — Migration initiale</t>
  </si>
  <si>
    <t xml:space="preserve">Module OPS-DEPLOY — Déploiement</t>
  </si>
  <si>
    <t xml:space="preserve">UC-OPS-VPS</t>
  </si>
  <si>
    <t xml:space="preserve">En tant que DevOps, je veux déployer sur VPS Docker Compose + Nginx + TLS</t>
  </si>
  <si>
    <t xml:space="preserve">DevOps</t>
  </si>
  <si>
    <t xml:space="preserve">Déploiement production</t>
  </si>
  <si>
    <t xml:space="preserve">Docker Compose prod, Nginx reverse proxy, certbot Let's Encrypt, backup cron vers Backblaze B2, monitoring.</t>
  </si>
  <si>
    <t xml:space="preserve">Sous-total Module OPS-DEPLOY — Déploiement</t>
  </si>
  <si>
    <t xml:space="preserve">SECTION G — TESTS ET RECETTE</t>
  </si>
  <si>
    <t xml:space="preserve">Module QA — Assurance qualité</t>
  </si>
  <si>
    <t xml:space="preserve">UC-QA-E2E</t>
  </si>
  <si>
    <t xml:space="preserve">En tant que QA, je veux tester bout en bout par rôle</t>
  </si>
  <si>
    <t xml:space="preserve">QA</t>
  </si>
  <si>
    <t xml:space="preserve">Tests E2E V1</t>
  </si>
  <si>
    <t xml:space="preserve">Playwright : parcours CDE (pointage sync), CDS (validation), Admin (bordereau MVola). Rejeu automatisé.</t>
  </si>
  <si>
    <t xml:space="preserve">UC-QA-OFFLINE</t>
  </si>
  <si>
    <t xml:space="preserve">En tant que QA, je veux tester le mode offline réel sur un site</t>
  </si>
  <si>
    <t xml:space="preserve">Test offline terrain</t>
  </si>
  <si>
    <t xml:space="preserve">1 journée terrain avec CDE sur site pilote. Vérification sync au retour. Corrections bugs.</t>
  </si>
  <si>
    <t xml:space="preserve">UC-QA-REC</t>
  </si>
  <si>
    <t xml:space="preserve">En tant qu'ALTERRA, je veux recetter la V1 sur 1 site pilote</t>
  </si>
  <si>
    <t xml:space="preserve">ALTERRA + PO</t>
  </si>
  <si>
    <t xml:space="preserve">Recette V1</t>
  </si>
  <si>
    <t xml:space="preserve">Session recette 2j avec référent ALTERRA. Corrections J+1 à J+5.</t>
  </si>
  <si>
    <t xml:space="preserve">Sous-total Module QA — Assurance qualité</t>
  </si>
  <si>
    <t xml:space="preserve">SECTION H — FORMATION ET DOCUMENTATION</t>
  </si>
  <si>
    <t xml:space="preserve">Module DOC — Documentation</t>
  </si>
  <si>
    <t xml:space="preserve">UC-DOC-USER</t>
  </si>
  <si>
    <t xml:space="preserve">En tant qu'utilisateur, je veux un guide utilisateur illustré par rôle</t>
  </si>
  <si>
    <t xml:space="preserve">PO / Tech Writer</t>
  </si>
  <si>
    <t xml:space="preserve">Guide utilisateur</t>
  </si>
  <si>
    <t xml:space="preserve">Guide PDF 15-20 pages par rôle. Screenshots. Cas d'usage courants.</t>
  </si>
  <si>
    <t xml:space="preserve">UC-DOC-OPS</t>
  </si>
  <si>
    <t xml:space="preserve">En tant qu'ALTERRA, je veux une documentation d'exploitation</t>
  </si>
  <si>
    <t xml:space="preserve">Doc exploitation</t>
  </si>
  <si>
    <t xml:space="preserve">Runbook, procédures backup/restore, playbook MEP.</t>
  </si>
  <si>
    <t xml:space="preserve">UC-DOC-TRAIN</t>
  </si>
  <si>
    <t xml:space="preserve">En tant qu'utilisateur, je veux être formé à l'outil sur mon site</t>
  </si>
  <si>
    <t xml:space="preserve">Formation 1 site pilote</t>
  </si>
  <si>
    <t xml:space="preserve">1 demi-journée Admin + CDS. 1 demi-journée CDE terrain. Support présentiel semaine 1.</t>
  </si>
  <si>
    <t xml:space="preserve">Sous-total Module DOC — Documentation</t>
  </si>
  <si>
    <t xml:space="preserve">SPRINT 6 (S11-S12) — Hypercare V1 · Objectif : stabilisation en production</t>
  </si>
  <si>
    <t xml:space="preserve">SECTION I — HYPERCARE</t>
  </si>
  <si>
    <t xml:space="preserve">Module OPS-HYPERCARE — Support post-MEP</t>
  </si>
  <si>
    <t xml:space="preserve">UC-OPS-HC</t>
  </si>
  <si>
    <t xml:space="preserve">En tant qu'ALTERRA, je veux un support prioritaire sur 3 semaines post-MEP</t>
  </si>
  <si>
    <t xml:space="preserve">PO / DevOps</t>
  </si>
  <si>
    <t xml:space="preserve">Hypercare V1</t>
  </si>
  <si>
    <t xml:space="preserve">Astreinte réactive, corrections bugs bloquants, ajustements UX mineurs, hotfix. Réunion hebdo.</t>
  </si>
  <si>
    <t xml:space="preserve">Sous-total Module OPS-HYPERCARE — Support post-MEP</t>
  </si>
  <si>
    <t xml:space="preserve">SECTION J — MARGE PRUDENTIELLE V1</t>
  </si>
  <si>
    <t xml:space="preserve">Module MARGE-V1 — Provision imprévus</t>
  </si>
  <si>
    <t xml:space="preserve">UC-MARGE-V1</t>
  </si>
  <si>
    <t xml:space="preserve">Provision pour imprévus V1 (voir Chiffrage.xlsx onglet Marge et risques)</t>
  </si>
  <si>
    <t xml:space="preserve">Réserve</t>
  </si>
  <si>
    <t xml:space="preserve">AXIAN API instabilité (2.5j), format MVola (1j), UX saisie en lot (1j), volumétrie (0.5j), imprévus (1j).</t>
  </si>
  <si>
    <t xml:space="preserve">Sous-total Module MARGE-V1 — Provision imprévus</t>
  </si>
  <si>
    <t xml:space="preserve">TOTAL V1 (baseline + marge)</t>
  </si>
  <si>
    <t xml:space="preserve">SPRINT 7 (S13-S14) — Cadrage V2, Zone/Parcelle, Équipes, NFC démarrage · Objectif : socle V2</t>
  </si>
  <si>
    <t xml:space="preserve">SECTION K — CADRAGE V2</t>
  </si>
  <si>
    <t xml:space="preserve">Module CAD-V2 — Cadrage extensions</t>
  </si>
  <si>
    <t xml:space="preserve">UC-CAD-V2</t>
  </si>
  <si>
    <t xml:space="preserve">En tant que PO, je veux un atelier UX pour les workflows et NFC</t>
  </si>
  <si>
    <t xml:space="preserve">PO / UX</t>
  </si>
  <si>
    <t xml:space="preserve">Atelier V2 + maquettes</t>
  </si>
  <si>
    <t xml:space="preserve">Atelier 2 demi-journées. Maquettes NFC, workflows demandes, cartographie.</t>
  </si>
  <si>
    <t xml:space="preserve">Sous-total Module CAD-V2 — Cadrage extensions</t>
  </si>
  <si>
    <t xml:space="preserve">SECTION L — HIÉRARCHIE GÉOGRAPHIQUE</t>
  </si>
  <si>
    <t xml:space="preserve">Module BE-GEO — Zone / Parcelle</t>
  </si>
  <si>
    <t xml:space="preserve">UC-BE-GEO-DM</t>
  </si>
  <si>
    <t xml:space="preserve">En tant que dev, je veux le modèle Zone/Parcelle en Prisma avec migrations</t>
  </si>
  <si>
    <t xml:space="preserve">Modèle Zone/Parcelle</t>
  </si>
  <si>
    <t xml:space="preserve">Migrations Zone (siteId, geoPolygon), Parcelle (zoneId, surfaceHa). FK sur Pointage.</t>
  </si>
  <si>
    <t xml:space="preserve">UC-BE-GEO-API</t>
  </si>
  <si>
    <t xml:space="preserve">En tant qu'Admin, je veux CRUD Zones/Parcelles + intégration pointages</t>
  </si>
  <si>
    <t xml:space="preserve">API Zones/Parcelles</t>
  </si>
  <si>
    <t xml:space="preserve">5 endpoints par entité. Endpoint /sites/geo pour cartographie.</t>
  </si>
  <si>
    <t xml:space="preserve">UC-FE-ADM-GEO</t>
  </si>
  <si>
    <t xml:space="preserve">En tant qu'Admin, je veux gérer les Zones/Parcelles côté UI</t>
  </si>
  <si>
    <t xml:space="preserve">UI Zones/Parcelles</t>
  </si>
  <si>
    <t xml:space="preserve">Table hiérarchique, formulaire, éditeur polygone GeoJSON simple.</t>
  </si>
  <si>
    <t xml:space="preserve">Sous-total Module BE-GEO — Zone / Parcelle</t>
  </si>
  <si>
    <t xml:space="preserve">SECTION M — GESTION D'ÉQUIPES</t>
  </si>
  <si>
    <t xml:space="preserve">Module FE-PWA-TEAM — Équipes côté terrain</t>
  </si>
  <si>
    <t xml:space="preserve">UC-FE-PWA-CDS-TEAM</t>
  </si>
  <si>
    <t xml:space="preserve">En tant que CDS, je veux composer les équipes côté PWA</t>
  </si>
  <si>
    <t xml:space="preserve">Composition équipes CDS</t>
  </si>
  <si>
    <t xml:space="preserve">CRUD équipes : nom, chef d'équipe, ajout membres depuis autocomplétion MOC.</t>
  </si>
  <si>
    <t xml:space="preserve">UC-FE-PWA-CDE-TEAM</t>
  </si>
  <si>
    <t xml:space="preserve">En tant que CDE, je veux ajouter/retirer des MOC de mon équipe</t>
  </si>
  <si>
    <t xml:space="preserve">Gestion équipe locale</t>
  </si>
  <si>
    <t xml:space="preserve">Ajout/retrait depuis base MOC existants (autocomplétion). Aucune création.</t>
  </si>
  <si>
    <t xml:space="preserve">Sous-total Module FE-PWA-TEAM — Équipes côté terrain</t>
  </si>
  <si>
    <t xml:space="preserve">SECTION N — NFC POINTAGE DE PRÉSENCE</t>
  </si>
  <si>
    <t xml:space="preserve">Module FE-PWA-NFC — Web NFC</t>
  </si>
  <si>
    <t xml:space="preserve">UC-FE-PWA-NFC-UI</t>
  </si>
  <si>
    <t xml:space="preserve">En tant que CDE, je veux scanner des badges NFC pour enregistrer la présence</t>
  </si>
  <si>
    <t xml:space="preserve">Module NFC PWA</t>
  </si>
  <si>
    <t xml:space="preserve">NDEFReader API, mode lecture, feedback visuel + son, log local, gestion badge inconnu.</t>
  </si>
  <si>
    <t xml:space="preserve">Sous-total Module FE-PWA-NFC — Web NFC</t>
  </si>
  <si>
    <t xml:space="preserve">SPRINT 8 (S15-S16) — Biométrie offline, Workflows, Cartographie · Objectif : richesse fonctionnelle</t>
  </si>
  <si>
    <t xml:space="preserve">Module BE-NFC — Backend présence</t>
  </si>
  <si>
    <t xml:space="preserve">UC-BE-NFC</t>
  </si>
  <si>
    <t xml:space="preserve">En tant que dev, je veux les endpoints PresenceRecord + Badge</t>
  </si>
  <si>
    <t xml:space="preserve">Backend NFC</t>
  </si>
  <si>
    <t xml:space="preserve">PresenceRecord model + endpoint /presence/sync (idempotent). Badge model + CRUD. Test sur appareils cibles Android.</t>
  </si>
  <si>
    <t xml:space="preserve">Sous-total Module BE-NFC — Backend présence</t>
  </si>
  <si>
    <t xml:space="preserve">SECTION O — BIOMÉTRIE OFFLINE</t>
  </si>
  <si>
    <t xml:space="preserve">Module FE-PWA-BIO — Cache biométrique local</t>
  </si>
  <si>
    <t xml:space="preserve">UC-FE-PWA-BIO-CACHE</t>
  </si>
  <si>
    <t xml:space="preserve">En tant que CDE, je veux pré-charger les templates biométriques chiffrés le matin</t>
  </si>
  <si>
    <t xml:space="preserve">Pré-fetch templates</t>
  </si>
  <si>
    <t xml:space="preserve">GET /biometric/templates/sync + chiffrement WebCrypto AES-256 avec clé dérivée PIN. Stockage IndexedDB.</t>
  </si>
  <si>
    <t xml:space="preserve">UC-FE-PWA-BIO-COMP</t>
  </si>
  <si>
    <t xml:space="preserve">En tant que CDE, je veux comparer une photo capturée avec le template en local</t>
  </si>
  <si>
    <t xml:space="preserve">Face matching embarqué</t>
  </si>
  <si>
    <t xml:space="preserve">face-api.js chargé lazy. Modèle TinyFace ~1Mo. Comparaison score seuil 0.6. Sync résultat POST /biometric/check-offline.</t>
  </si>
  <si>
    <t xml:space="preserve">Sous-total Module FE-PWA-BIO — Cache biométrique local</t>
  </si>
  <si>
    <t xml:space="preserve">SECTION P — WORKFLOWS DE DEMANDES</t>
  </si>
  <si>
    <t xml:space="preserve">Module BE-WF — Backend workflows</t>
  </si>
  <si>
    <t xml:space="preserve">UC-BE-WF</t>
  </si>
  <si>
    <t xml:space="preserve">En tant que dev, je veux les endpoints workflows demandes</t>
  </si>
  <si>
    <t xml:space="preserve">API workflows</t>
  </si>
  <si>
    <t xml:space="preserve">3 modèles ActivityRequest/WorkerRequest/ClarificationRequest. 5 endpoints par entité. State machine.</t>
  </si>
  <si>
    <t xml:space="preserve">Sous-total Module BE-WF — Backend workflows</t>
  </si>
  <si>
    <t xml:space="preserve">Module FE-PWA-WF — Workflows côté terrain</t>
  </si>
  <si>
    <t xml:space="preserve">UC-FE-PWA-CLAR</t>
  </si>
  <si>
    <t xml:space="preserve">En tant que CDS, je veux demander des précisions au CDE avant validation</t>
  </si>
  <si>
    <t xml:space="preserve">CDS / CDE</t>
  </si>
  <si>
    <t xml:space="preserve">Demande précisions</t>
  </si>
  <si>
    <t xml:space="preserve">CDS crée demande (texte + photo optionnelle). CDE reçoit notif push, répond. Retour CDS.</t>
  </si>
  <si>
    <t xml:space="preserve">UC-FE-PWA-ACTREQ</t>
  </si>
  <si>
    <t xml:space="preserve">En tant que CDS, je veux demander la création d'une nouvelle activité</t>
  </si>
  <si>
    <t xml:space="preserve">Demande activité</t>
  </si>
  <si>
    <t xml:space="preserve">Formulaire proposition (libellé, unité, tarif, justification). Envoi Admin.</t>
  </si>
  <si>
    <t xml:space="preserve">UC-FE-PWA-WKRREQ</t>
  </si>
  <si>
    <t xml:space="preserve">En tant que CDS, je veux demander l'ajout d'un nouveau MOC</t>
  </si>
  <si>
    <t xml:space="preserve">Demande MOC</t>
  </si>
  <si>
    <t xml:space="preserve">Formulaire complet avec photo. Envoi Admin.</t>
  </si>
  <si>
    <t xml:space="preserve">Sous-total Module FE-PWA-WF — Workflows côté terrain</t>
  </si>
  <si>
    <t xml:space="preserve">Module FE-ADMIN-WF — Traitement côté Admin</t>
  </si>
  <si>
    <t xml:space="preserve">UC-FE-ADM-WF</t>
  </si>
  <si>
    <t xml:space="preserve">En tant qu'Admin, je veux traiter les demandes terrain (file unifiée)</t>
  </si>
  <si>
    <t xml:space="preserve">File demandes Admin</t>
  </si>
  <si>
    <t xml:space="preserve">Onglets par type. Tri ancienneté. Drawer détail. Actions Accepter/Refuser/Complément.</t>
  </si>
  <si>
    <t xml:space="preserve">Sous-total Module FE-ADMIN-WF — Traitement côté Admin</t>
  </si>
  <si>
    <t xml:space="preserve">SECTION Q — CARTOGRAPHIE</t>
  </si>
  <si>
    <t xml:space="preserve">Module FE-ADMIN-MAP — Cartographie Leaflet</t>
  </si>
  <si>
    <t xml:space="preserve">UC-FE-ADM-MAP</t>
  </si>
  <si>
    <t xml:space="preserve">En tant qu'Admin, je veux visualiser sites/zones/parcelles sur carte</t>
  </si>
  <si>
    <t xml:space="preserve">Cartographie Admin</t>
  </si>
  <si>
    <t xml:space="preserve">Leaflet + tuiles OSM/MapTiler. Marqueurs sites avec popup. Couches Zones/Parcelles (polygones).</t>
  </si>
  <si>
    <t xml:space="preserve">Sous-total Module FE-ADMIN-MAP — Cartographie Leaflet</t>
  </si>
  <si>
    <t xml:space="preserve">SPRINT 9 (S17) — Clôture quotidienne, tests V2, hypercare V2 · Objectif : recette V2 réussie</t>
  </si>
  <si>
    <t xml:space="preserve">SECTION R — CLÔTURE QUOTIDIENNE</t>
  </si>
  <si>
    <t xml:space="preserve">Module BE-DAILY — Rapport journalier</t>
  </si>
  <si>
    <t xml:space="preserve">UC-BE-DAILY</t>
  </si>
  <si>
    <t xml:space="preserve">En tant que dev, je veux l'endpoint /reports/daily</t>
  </si>
  <si>
    <t xml:space="preserve">API rapport journalier</t>
  </si>
  <si>
    <t xml:space="preserve">Endpoint POST /reports/daily. Agrégation jour. Template court. PDF via Puppeteer.</t>
  </si>
  <si>
    <t xml:space="preserve">UC-FE-PWA-CLOSE</t>
  </si>
  <si>
    <t xml:space="preserve">En tant que CDS, je veux clôturer une journée et générer le rapport</t>
  </si>
  <si>
    <t xml:space="preserve">UI clôture journalière</t>
  </si>
  <si>
    <t xml:space="preserve">Écran clôture, signature électronique, envoi automatique Admin.</t>
  </si>
  <si>
    <t xml:space="preserve">Sous-total Module BE-DAILY — Rapport journalier</t>
  </si>
  <si>
    <t xml:space="preserve">SECTION S — TESTS V2 ET RECETTE</t>
  </si>
  <si>
    <t xml:space="preserve">Module QA-V2 — Assurance qualité V2</t>
  </si>
  <si>
    <t xml:space="preserve">UC-QA-V2-E2E</t>
  </si>
  <si>
    <t xml:space="preserve">En tant que QA, je veux tester V2 E2E incluant NFC et bio offline</t>
  </si>
  <si>
    <t xml:space="preserve">Tests V2</t>
  </si>
  <si>
    <t xml:space="preserve">Playwright + tests appareils physiques NFC. Test offline complet 1 journée.</t>
  </si>
  <si>
    <t xml:space="preserve">UC-QA-V2-REC</t>
  </si>
  <si>
    <t xml:space="preserve">En tant qu'ALTERRA, je veux recetter la V2</t>
  </si>
  <si>
    <t xml:space="preserve">Recette V2 + hypercare</t>
  </si>
  <si>
    <t xml:space="preserve">Recette 2j + hypercare 2 semaines réactif.</t>
  </si>
  <si>
    <t xml:space="preserve">Sous-total Module QA-V2 — Assurance qualité V2</t>
  </si>
  <si>
    <t xml:space="preserve">SECTION T — MARGE PRUDENTIELLE V2</t>
  </si>
  <si>
    <t xml:space="preserve">Module MARGE-V2 — Provision imprévus</t>
  </si>
  <si>
    <t xml:space="preserve">UC-MARGE-V2</t>
  </si>
  <si>
    <t xml:space="preserve">Provision pour imprévus V2 (NFC, bio offline, UX workflows)</t>
  </si>
  <si>
    <t xml:space="preserve">Réserve V2</t>
  </si>
  <si>
    <t xml:space="preserve">NFC compat (0.5j), bio offline perf (0.5j), UX workflows (0.5j).</t>
  </si>
  <si>
    <t xml:space="preserve">Sous-total Module MARGE-V2 — Provision imprévus</t>
  </si>
  <si>
    <t xml:space="preserve">TOTAL V2 (baseline + marge)</t>
  </si>
  <si>
    <t xml:space="preserve">Synthèse du backlog ALTERRA — V1 + V2</t>
  </si>
  <si>
    <t xml:space="preserve">Vue consolidée par version et par sprint. Le détail par module est dans les onglets Backlog V1 et Backlog V2.</t>
  </si>
  <si>
    <t xml:space="preserve">Paramètre de calcul</t>
  </si>
  <si>
    <t xml:space="preserve">TJM moyen</t>
  </si>
  <si>
    <t xml:space="preserve">à renseigner</t>
  </si>
  <si>
    <t xml:space="preserve">Par version</t>
  </si>
  <si>
    <t xml:space="preserve">Version</t>
  </si>
  <si>
    <t xml:space="preserve">Jours-homme</t>
  </si>
  <si>
    <t xml:space="preserve">Semaines</t>
  </si>
  <si>
    <t xml:space="preserve">Coût (TJM × j-h)</t>
  </si>
  <si>
    <t xml:space="preserve">V1 — Cœur fonctionnel</t>
  </si>
  <si>
    <t xml:space="preserve">12 semaines</t>
  </si>
  <si>
    <t xml:space="preserve">V2 — Extensions terrain</t>
  </si>
  <si>
    <t xml:space="preserve">5 semaines</t>
  </si>
  <si>
    <t xml:space="preserve">TOTAL V1 + V2</t>
  </si>
  <si>
    <t xml:space="preserve">17 semaines</t>
  </si>
  <si>
    <t xml:space="preserve">Par sprint</t>
  </si>
  <si>
    <t xml:space="preserve">Sprint</t>
  </si>
  <si>
    <t xml:space="preserve">Focus</t>
  </si>
  <si>
    <t xml:space="preserve">Charge (j-h)</t>
  </si>
  <si>
    <t xml:space="preserve">Sprint 1</t>
  </si>
  <si>
    <t xml:space="preserve">S1-S2</t>
  </si>
  <si>
    <t xml:space="preserve">Cadrage + Socle technique</t>
  </si>
  <si>
    <t xml:space="preserve">Sprint 2</t>
  </si>
  <si>
    <t xml:space="preserve">S3-S4</t>
  </si>
  <si>
    <t xml:space="preserve">API métier V1 + Admin start</t>
  </si>
  <si>
    <t xml:space="preserve">Sprint 3</t>
  </si>
  <si>
    <t xml:space="preserve">S5-S6</t>
  </si>
  <si>
    <t xml:space="preserve">Admin complet + PWA setup</t>
  </si>
  <si>
    <t xml:space="preserve">Sprint 4</t>
  </si>
  <si>
    <t xml:space="preserve">S7-S8</t>
  </si>
  <si>
    <t xml:space="preserve">PWA complète + Biométrie + PDF</t>
  </si>
  <si>
    <t xml:space="preserve">Sprint 5</t>
  </si>
  <si>
    <t xml:space="preserve">S9-S10</t>
  </si>
  <si>
    <t xml:space="preserve">Données + Déploiement + Tests + Formation</t>
  </si>
  <si>
    <t xml:space="preserve">Sprint 6</t>
  </si>
  <si>
    <t xml:space="preserve">S11-S12</t>
  </si>
  <si>
    <t xml:space="preserve">Hypercare V1 + marge</t>
  </si>
  <si>
    <t xml:space="preserve">Sprint 7</t>
  </si>
  <si>
    <t xml:space="preserve">S13-S14</t>
  </si>
  <si>
    <t xml:space="preserve">Cadrage V2 + Zone/Parcelle + Équipes + NFC start</t>
  </si>
  <si>
    <t xml:space="preserve">Sprint 8</t>
  </si>
  <si>
    <t xml:space="preserve">S15-S16</t>
  </si>
  <si>
    <t xml:space="preserve">NFC + Biométrie offline + Workflows + Cartographie</t>
  </si>
  <si>
    <t xml:space="preserve">Sprint 9</t>
  </si>
  <si>
    <t xml:space="preserve">S17</t>
  </si>
  <si>
    <t xml:space="preserve">Clôture quotidienne + Tests V2 + Hypercare V2 + marge</t>
  </si>
  <si>
    <t xml:space="preserve">Hypothèses de chiffrage et de planning</t>
  </si>
  <si>
    <t xml:space="preserve">MÉTHODE ET ORGANISATION</t>
  </si>
  <si>
    <t xml:space="preserve">Méthode</t>
  </si>
  <si>
    <t xml:space="preserve">Scrum adapté. Sprints de 2 semaines. Une exception : Sprint 9 (S17) sur 1 semaine.</t>
  </si>
  <si>
    <t xml:space="preserve">Équipe</t>
  </si>
  <si>
    <t xml:space="preserve">2 développeurs fullstack + 1 tech lead 20% + 1 PO 30%.</t>
  </si>
  <si>
    <t xml:space="preserve">Capacité</t>
  </si>
  <si>
    <t xml:space="preserve">3 j-h effectifs par développeur par semaine (10 j × 60% de focus après réunions, revues, imprévus).</t>
  </si>
  <si>
    <t xml:space="preserve">Cérémonies</t>
  </si>
  <si>
    <t xml:space="preserve">Daily 15 min, sprint planning 2h, sprint review 1h, rétrospective 1h.</t>
  </si>
  <si>
    <t xml:space="preserve">ESTIMATION</t>
  </si>
  <si>
    <t xml:space="preserve">Unité</t>
  </si>
  <si>
    <t xml:space="preserve">Jour-homme (j/h) exprimé en fraction (0.25, 0.5, 0.75, 1.0, 1.5, etc.).</t>
  </si>
  <si>
    <t xml:space="preserve">Estimation à dire d'expert par le Tech Lead, ajustée en Sprint Planning.</t>
  </si>
  <si>
    <t xml:space="preserve">Répartition</t>
  </si>
  <si>
    <t xml:space="preserve">Colonne UI/Frontend pour le travail interface, colonne Backend/Logique pour le serveur et la logique métier.</t>
  </si>
  <si>
    <t xml:space="preserve">Total</t>
  </si>
  <si>
    <t xml:space="preserve">Somme des deux colonnes, formule Excel automatique.</t>
  </si>
  <si>
    <t xml:space="preserve">PÉRIMÈTRE</t>
  </si>
  <si>
    <t xml:space="preserve">V1</t>
  </si>
  <si>
    <t xml:space="preserve">50 j-h sur 12 semaines. Cœur fonctionnel opérationnel.</t>
  </si>
  <si>
    <t xml:space="preserve">V2</t>
  </si>
  <si>
    <t xml:space="preserve">21 j-h sur 5 semaines. Extensions terrain (NFC, bio offline, workflows, Zone/Parcelle, cartographie, clôture quotidienne).</t>
  </si>
  <si>
    <t xml:space="preserve">71 j-h sur 17 semaines calendaires enchaînées.</t>
  </si>
  <si>
    <t xml:space="preserve">V2 optionnelle</t>
  </si>
  <si>
    <t xml:space="preserve">V1 ferme à signature. V2 en avenant après recette V1.</t>
  </si>
  <si>
    <t xml:space="preserve">INCLUS</t>
  </si>
  <si>
    <t xml:space="preserve">Cadrage</t>
  </si>
  <si>
    <t xml:space="preserve">Ateliers, spec fonctionnelle, spec technique, backlog, maquettes.</t>
  </si>
  <si>
    <t xml:space="preserve">Développement</t>
  </si>
  <si>
    <t xml:space="preserve">Backend NestJS + Prisma, Frontend Admin React, PWA Terrain React.</t>
  </si>
  <si>
    <t xml:space="preserve">Modules</t>
  </si>
  <si>
    <t xml:space="preserve">Excel MVola, PDF rapports, biométrie adapter, NFC, workflows.</t>
  </si>
  <si>
    <t xml:space="preserve">Migration</t>
  </si>
  <si>
    <t xml:space="preserve">Import données initiales format Excel propre fourni par ALTERRA.</t>
  </si>
  <si>
    <t xml:space="preserve">Déploiement</t>
  </si>
  <si>
    <t xml:space="preserve">VPS Linux Docker Compose, backup, monitoring.</t>
  </si>
  <si>
    <t xml:space="preserve">Tests</t>
  </si>
  <si>
    <t xml:space="preserve">Unitaires, intégration, E2E, test offline terrain, recette.</t>
  </si>
  <si>
    <t xml:space="preserve">Formation</t>
  </si>
  <si>
    <t xml:space="preserve">1 site pilote. Guide utilisateur PDF, doc exploitation.</t>
  </si>
  <si>
    <t xml:space="preserve">Hypercare</t>
  </si>
  <si>
    <t xml:space="preserve">3 semaines après MEP V1, 2 semaines après MEP V2.</t>
  </si>
  <si>
    <t xml:space="preserve">NON INCLUS</t>
  </si>
  <si>
    <t xml:space="preserve">Infra récurrente</t>
  </si>
  <si>
    <t xml:space="preserve">VPS, services tiers (SMS, email, MapTiler, Backblaze).</t>
  </si>
  <si>
    <t xml:space="preserve">Stabilisation AXIAN post-V2</t>
  </si>
  <si>
    <t xml:space="preserve">3-5 j en sus si API livrée après V2.</t>
  </si>
  <si>
    <t xml:space="preserve">Maintenance long terme</t>
  </si>
  <si>
    <t xml:space="preserve">Forfait post-hypercare à chiffrer séparément.</t>
  </si>
  <si>
    <t xml:space="preserve">Matériel</t>
  </si>
  <si>
    <t xml:space="preserve">Smartphones Android NFC + badges NFC à la charge d'ALTERRA.</t>
  </si>
  <si>
    <t xml:space="preserve">Analyse RGPD approfondie V2</t>
  </si>
  <si>
    <t xml:space="preserve">Recommandée, à chiffrer séparément.</t>
  </si>
  <si>
    <t xml:space="preserve">CONDITIONS DE RÉUSSITE</t>
  </si>
  <si>
    <t xml:space="preserve">Référent métier ALTERRA</t>
  </si>
  <si>
    <t xml:space="preserve">0,5 j/semaine disponible pendant toute la durée.</t>
  </si>
  <si>
    <t xml:space="preserve">Engagement AXIAN</t>
  </si>
  <si>
    <t xml:space="preserve">Confirmation avant phase biométrique V1 ou décision mode manuel.</t>
  </si>
  <si>
    <t xml:space="preserve">Format MVola</t>
  </si>
  <si>
    <t xml:space="preserve">Échantillon obtenu en Sprint 1.</t>
  </si>
  <si>
    <t xml:space="preserve">VPS</t>
  </si>
  <si>
    <t xml:space="preserve">Provisionné en Sprint 5.</t>
  </si>
  <si>
    <t xml:space="preserve">Données initiales</t>
  </si>
  <si>
    <t xml:space="preserve">Fournies en Sprint 5 au format Excel propre.</t>
  </si>
  <si>
    <t xml:space="preserve">Flotte Android NFC</t>
  </si>
  <si>
    <t xml:space="preserve">Validée avant Sprint 7 (V2).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</si>
</sst>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&quot; j&quot;"/>
    <numFmt numFmtId="166" formatCode="#,##0"/>
    <numFmt numFmtId="167" formatCode="0.0&quot; j&quot;"/>
    <numFmt numFmtId="168" formatCode="#,##0;[RED]\-#,##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A234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A2341"/>
      <name val="Arial"/>
      <family val="0"/>
      <charset val="1"/>
    </font>
    <font>
      <b val="true"/>
      <sz val="18"/>
      <color rgb="FF0A234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70C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0070C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7A3A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0A234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A2341"/>
        <bgColor rgb="FF153A5C"/>
      </patternFill>
    </fill>
    <fill>
      <patternFill patternType="solid">
        <fgColor rgb="FFE30613"/>
        <bgColor rgb="FF800000"/>
      </patternFill>
    </fill>
    <fill>
      <patternFill patternType="solid">
        <fgColor rgb="FF153A5C"/>
        <bgColor rgb="FF1F3A5F"/>
      </patternFill>
    </fill>
    <fill>
      <patternFill patternType="solid">
        <fgColor rgb="FFFFFFFF"/>
        <bgColor rgb="FFF4F8FB"/>
      </patternFill>
    </fill>
    <fill>
      <patternFill patternType="solid">
        <fgColor rgb="FFF4F8FB"/>
        <bgColor rgb="FFF2F2F2"/>
      </patternFill>
    </fill>
    <fill>
      <patternFill patternType="solid">
        <fgColor rgb="FFD0E4F5"/>
        <bgColor rgb="FFC9D6EB"/>
      </patternFill>
    </fill>
    <fill>
      <patternFill patternType="solid">
        <fgColor rgb="FFF1EFE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9D6EB"/>
        <bgColor rgb="FFD0E4F5"/>
      </patternFill>
    </fill>
    <fill>
      <patternFill patternType="solid">
        <fgColor rgb="FFEBC9C9"/>
        <bgColor rgb="FFC9D6EB"/>
      </patternFill>
    </fill>
    <fill>
      <patternFill patternType="solid">
        <fgColor rgb="FFF2F2F2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1EFE8"/>
      <rgbColor rgb="FFD0E4F5"/>
      <rgbColor rgb="FF660066"/>
      <rgbColor rgb="FFFF8080"/>
      <rgbColor rgb="FF0070C0"/>
      <rgbColor rgb="FFC9D6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B"/>
      <rgbColor rgb="FFF2F2F2"/>
      <rgbColor rgb="FFFFFF99"/>
      <rgbColor rgb="FF99CCFF"/>
      <rgbColor rgb="FFFF99CC"/>
      <rgbColor rgb="FFCC99FF"/>
      <rgbColor rgb="FFEBC9C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53A5C"/>
      <rgbColor rgb="FF339966"/>
      <rgbColor rgb="FF0A2341"/>
      <rgbColor rgb="FF333300"/>
      <rgbColor rgb="FF7A3A10"/>
      <rgbColor rgb="FF993366"/>
      <rgbColor rgb="FF333399"/>
      <rgbColor rgb="FF1F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9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1.7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46.25" hidden="false" customHeight="false" outlineLevel="0" collapsed="false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 t="n">
        <v>0</v>
      </c>
      <c r="G5" s="7" t="n">
        <v>1.5</v>
      </c>
      <c r="H5" s="8" t="n">
        <f aca="false">F5+G5</f>
        <v>1.5</v>
      </c>
    </row>
    <row r="6" customFormat="false" ht="35.05" hidden="false" customHeight="false" outlineLevel="0" collapsed="false">
      <c r="A6" s="9" t="s">
        <v>16</v>
      </c>
      <c r="B6" s="10" t="s">
        <v>17</v>
      </c>
      <c r="C6" s="10" t="s">
        <v>18</v>
      </c>
      <c r="D6" s="10" t="s">
        <v>19</v>
      </c>
      <c r="E6" s="10" t="s">
        <v>20</v>
      </c>
      <c r="F6" s="11" t="n">
        <v>0</v>
      </c>
      <c r="G6" s="11" t="n">
        <v>1</v>
      </c>
      <c r="H6" s="12" t="n">
        <f aca="false">F6+G6</f>
        <v>1</v>
      </c>
    </row>
    <row r="7" customFormat="false" ht="35.05" hidden="false" customHeight="false" outlineLevel="0" collapsed="false">
      <c r="A7" s="5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7" t="n">
        <v>1</v>
      </c>
      <c r="G7" s="7" t="n">
        <v>0.5</v>
      </c>
      <c r="H7" s="8" t="n">
        <f aca="false">F7+G7</f>
        <v>1.5</v>
      </c>
    </row>
    <row r="8" customFormat="false" ht="15" hidden="false" customHeight="false" outlineLevel="0" collapsed="false">
      <c r="A8" s="13" t="s">
        <v>26</v>
      </c>
      <c r="B8" s="13"/>
      <c r="C8" s="13"/>
      <c r="D8" s="13"/>
      <c r="E8" s="13"/>
      <c r="F8" s="14" t="n">
        <f aca="false">SUM(F5:F7)</f>
        <v>1</v>
      </c>
      <c r="G8" s="14" t="n">
        <f aca="false">SUM(G5:G7)</f>
        <v>3</v>
      </c>
      <c r="H8" s="14" t="n">
        <f aca="false">SUM(H5:H7)</f>
        <v>4</v>
      </c>
    </row>
    <row r="9" customFormat="false" ht="19.5" hidden="false" customHeight="true" outlineLevel="0" collapsed="false">
      <c r="A9" s="3" t="s">
        <v>27</v>
      </c>
      <c r="B9" s="3"/>
      <c r="C9" s="3"/>
      <c r="D9" s="3"/>
      <c r="E9" s="3"/>
      <c r="F9" s="3"/>
      <c r="G9" s="3"/>
      <c r="H9" s="3"/>
    </row>
    <row r="10" customFormat="false" ht="19.5" hidden="false" customHeight="true" outlineLevel="0" collapsed="false">
      <c r="A10" s="4" t="s">
        <v>28</v>
      </c>
      <c r="B10" s="4"/>
      <c r="C10" s="4"/>
      <c r="D10" s="4"/>
      <c r="E10" s="4"/>
      <c r="F10" s="4"/>
      <c r="G10" s="4"/>
      <c r="H10" s="4"/>
    </row>
    <row r="11" customFormat="false" ht="35.05" hidden="false" customHeight="false" outlineLevel="0" collapsed="false">
      <c r="A11" s="5" t="s">
        <v>29</v>
      </c>
      <c r="B11" s="6" t="s">
        <v>30</v>
      </c>
      <c r="C11" s="6" t="s">
        <v>31</v>
      </c>
      <c r="D11" s="6" t="s">
        <v>32</v>
      </c>
      <c r="E11" s="6" t="s">
        <v>33</v>
      </c>
      <c r="F11" s="7" t="n">
        <v>0</v>
      </c>
      <c r="G11" s="7" t="n">
        <v>0.5</v>
      </c>
      <c r="H11" s="8" t="n">
        <f aca="false">F11+G11</f>
        <v>0.5</v>
      </c>
    </row>
    <row r="12" customFormat="false" ht="23.85" hidden="false" customHeight="false" outlineLevel="0" collapsed="false">
      <c r="A12" s="9" t="s">
        <v>29</v>
      </c>
      <c r="B12" s="10" t="s">
        <v>34</v>
      </c>
      <c r="C12" s="10" t="s">
        <v>31</v>
      </c>
      <c r="D12" s="10" t="s">
        <v>35</v>
      </c>
      <c r="E12" s="10" t="s">
        <v>36</v>
      </c>
      <c r="F12" s="11" t="n">
        <v>0</v>
      </c>
      <c r="G12" s="11" t="n">
        <v>0.5</v>
      </c>
      <c r="H12" s="12" t="n">
        <f aca="false">F12+G12</f>
        <v>0.5</v>
      </c>
    </row>
    <row r="13" customFormat="false" ht="35.05" hidden="false" customHeight="false" outlineLevel="0" collapsed="false">
      <c r="A13" s="5" t="s">
        <v>29</v>
      </c>
      <c r="B13" s="6" t="s">
        <v>37</v>
      </c>
      <c r="C13" s="6" t="s">
        <v>31</v>
      </c>
      <c r="D13" s="6" t="s">
        <v>38</v>
      </c>
      <c r="E13" s="6" t="s">
        <v>39</v>
      </c>
      <c r="F13" s="7" t="n">
        <v>0</v>
      </c>
      <c r="G13" s="7" t="n">
        <v>0.5</v>
      </c>
      <c r="H13" s="8" t="n">
        <f aca="false">F13+G13</f>
        <v>0.5</v>
      </c>
    </row>
    <row r="14" customFormat="false" ht="15" hidden="false" customHeight="false" outlineLevel="0" collapsed="false">
      <c r="A14" s="13" t="s">
        <v>40</v>
      </c>
      <c r="B14" s="13"/>
      <c r="C14" s="13"/>
      <c r="D14" s="13"/>
      <c r="E14" s="13"/>
      <c r="F14" s="14" t="n">
        <f aca="false">SUM(F11:F13)</f>
        <v>0</v>
      </c>
      <c r="G14" s="14" t="n">
        <f aca="false">SUM(G11:G13)</f>
        <v>1.5</v>
      </c>
      <c r="H14" s="14" t="n">
        <f aca="false">SUM(H11:H13)</f>
        <v>1.5</v>
      </c>
    </row>
    <row r="15" customFormat="false" ht="19.5" hidden="false" customHeight="true" outlineLevel="0" collapsed="false">
      <c r="A15" s="4" t="s">
        <v>41</v>
      </c>
      <c r="B15" s="4"/>
      <c r="C15" s="4"/>
      <c r="D15" s="4"/>
      <c r="E15" s="4"/>
      <c r="F15" s="4"/>
      <c r="G15" s="4"/>
      <c r="H15" s="4"/>
    </row>
    <row r="16" customFormat="false" ht="35.05" hidden="false" customHeight="false" outlineLevel="0" collapsed="false">
      <c r="A16" s="9" t="s">
        <v>42</v>
      </c>
      <c r="B16" s="10" t="s">
        <v>43</v>
      </c>
      <c r="C16" s="10" t="s">
        <v>31</v>
      </c>
      <c r="D16" s="10" t="s">
        <v>44</v>
      </c>
      <c r="E16" s="10" t="s">
        <v>45</v>
      </c>
      <c r="F16" s="11" t="n">
        <v>0</v>
      </c>
      <c r="G16" s="11" t="n">
        <v>1</v>
      </c>
      <c r="H16" s="12" t="n">
        <f aca="false">F16+G16</f>
        <v>1</v>
      </c>
    </row>
    <row r="17" customFormat="false" ht="35.05" hidden="false" customHeight="false" outlineLevel="0" collapsed="false">
      <c r="A17" s="5" t="s">
        <v>46</v>
      </c>
      <c r="B17" s="6" t="s">
        <v>47</v>
      </c>
      <c r="C17" s="6" t="s">
        <v>31</v>
      </c>
      <c r="D17" s="6" t="s">
        <v>48</v>
      </c>
      <c r="E17" s="6" t="s">
        <v>49</v>
      </c>
      <c r="F17" s="7" t="n">
        <v>0</v>
      </c>
      <c r="G17" s="7" t="n">
        <v>0.5</v>
      </c>
      <c r="H17" s="8" t="n">
        <f aca="false">F17+G17</f>
        <v>0.5</v>
      </c>
    </row>
    <row r="18" customFormat="false" ht="15" hidden="false" customHeight="false" outlineLevel="0" collapsed="false">
      <c r="A18" s="13" t="s">
        <v>50</v>
      </c>
      <c r="B18" s="13"/>
      <c r="C18" s="13"/>
      <c r="D18" s="13"/>
      <c r="E18" s="13"/>
      <c r="F18" s="14" t="n">
        <f aca="false">SUM(F16:F17)</f>
        <v>0</v>
      </c>
      <c r="G18" s="14" t="n">
        <f aca="false">SUM(G16:G17)</f>
        <v>1.5</v>
      </c>
      <c r="H18" s="14" t="n">
        <f aca="false">SUM(H16:H17)</f>
        <v>1.5</v>
      </c>
    </row>
    <row r="19" customFormat="false" ht="19.5" hidden="false" customHeight="true" outlineLevel="0" collapsed="false">
      <c r="A19" s="4" t="s">
        <v>51</v>
      </c>
      <c r="B19" s="4"/>
      <c r="C19" s="4"/>
      <c r="D19" s="4"/>
      <c r="E19" s="4"/>
      <c r="F19" s="4"/>
      <c r="G19" s="4"/>
      <c r="H19" s="4"/>
    </row>
    <row r="20" customFormat="false" ht="35.05" hidden="false" customHeight="false" outlineLevel="0" collapsed="false">
      <c r="A20" s="9" t="s">
        <v>52</v>
      </c>
      <c r="B20" s="10" t="s">
        <v>53</v>
      </c>
      <c r="C20" s="10" t="s">
        <v>54</v>
      </c>
      <c r="D20" s="10" t="s">
        <v>55</v>
      </c>
      <c r="E20" s="10" t="s">
        <v>56</v>
      </c>
      <c r="F20" s="11" t="n">
        <v>0</v>
      </c>
      <c r="G20" s="11" t="n">
        <v>0.5</v>
      </c>
      <c r="H20" s="12" t="n">
        <f aca="false">F20+G20</f>
        <v>0.5</v>
      </c>
    </row>
    <row r="21" customFormat="false" ht="23.85" hidden="false" customHeight="false" outlineLevel="0" collapsed="false">
      <c r="A21" s="5" t="s">
        <v>52</v>
      </c>
      <c r="B21" s="6" t="s">
        <v>57</v>
      </c>
      <c r="C21" s="6" t="s">
        <v>58</v>
      </c>
      <c r="D21" s="6" t="s">
        <v>59</v>
      </c>
      <c r="E21" s="6" t="s">
        <v>60</v>
      </c>
      <c r="F21" s="7" t="n">
        <v>0</v>
      </c>
      <c r="G21" s="7" t="n">
        <v>0.5</v>
      </c>
      <c r="H21" s="8" t="n">
        <f aca="false">F21+G21</f>
        <v>0.5</v>
      </c>
    </row>
    <row r="22" customFormat="false" ht="23.85" hidden="false" customHeight="false" outlineLevel="0" collapsed="false">
      <c r="A22" s="9" t="s">
        <v>52</v>
      </c>
      <c r="B22" s="10" t="s">
        <v>61</v>
      </c>
      <c r="C22" s="10" t="s">
        <v>58</v>
      </c>
      <c r="D22" s="10" t="s">
        <v>62</v>
      </c>
      <c r="E22" s="10" t="s">
        <v>63</v>
      </c>
      <c r="F22" s="11" t="n">
        <v>0</v>
      </c>
      <c r="G22" s="11" t="n">
        <v>0.25</v>
      </c>
      <c r="H22" s="12" t="n">
        <f aca="false">F22+G22</f>
        <v>0.25</v>
      </c>
    </row>
    <row r="23" customFormat="false" ht="23.85" hidden="false" customHeight="false" outlineLevel="0" collapsed="false">
      <c r="A23" s="5" t="s">
        <v>52</v>
      </c>
      <c r="B23" s="6" t="s">
        <v>64</v>
      </c>
      <c r="C23" s="6" t="s">
        <v>65</v>
      </c>
      <c r="D23" s="6" t="s">
        <v>66</v>
      </c>
      <c r="E23" s="6" t="s">
        <v>67</v>
      </c>
      <c r="F23" s="7" t="n">
        <v>0</v>
      </c>
      <c r="G23" s="7" t="n">
        <v>0.25</v>
      </c>
      <c r="H23" s="8" t="n">
        <f aca="false">F23+G23</f>
        <v>0.25</v>
      </c>
    </row>
    <row r="24" customFormat="false" ht="15" hidden="false" customHeight="false" outlineLevel="0" collapsed="false">
      <c r="A24" s="13" t="s">
        <v>68</v>
      </c>
      <c r="B24" s="13"/>
      <c r="C24" s="13"/>
      <c r="D24" s="13"/>
      <c r="E24" s="13"/>
      <c r="F24" s="14" t="n">
        <f aca="false">SUM(F20:F23)</f>
        <v>0</v>
      </c>
      <c r="G24" s="14" t="n">
        <f aca="false">SUM(G20:G23)</f>
        <v>1.5</v>
      </c>
      <c r="H24" s="14" t="n">
        <f aca="false">SUM(H20:H23)</f>
        <v>1.5</v>
      </c>
    </row>
    <row r="25" customFormat="false" ht="19.5" hidden="false" customHeight="true" outlineLevel="0" collapsed="false">
      <c r="A25" s="4" t="s">
        <v>69</v>
      </c>
      <c r="B25" s="4"/>
      <c r="C25" s="4"/>
      <c r="D25" s="4"/>
      <c r="E25" s="4"/>
      <c r="F25" s="4"/>
      <c r="G25" s="4"/>
      <c r="H25" s="4"/>
    </row>
    <row r="26" customFormat="false" ht="35.05" hidden="false" customHeight="false" outlineLevel="0" collapsed="false">
      <c r="A26" s="9" t="s">
        <v>70</v>
      </c>
      <c r="B26" s="10" t="s">
        <v>71</v>
      </c>
      <c r="C26" s="10" t="s">
        <v>31</v>
      </c>
      <c r="D26" s="10" t="s">
        <v>72</v>
      </c>
      <c r="E26" s="10" t="s">
        <v>73</v>
      </c>
      <c r="F26" s="11" t="n">
        <v>0</v>
      </c>
      <c r="G26" s="11" t="n">
        <v>0.25</v>
      </c>
      <c r="H26" s="12" t="n">
        <f aca="false">F26+G26</f>
        <v>0.25</v>
      </c>
    </row>
    <row r="27" customFormat="false" ht="35.05" hidden="false" customHeight="false" outlineLevel="0" collapsed="false">
      <c r="A27" s="5" t="s">
        <v>70</v>
      </c>
      <c r="B27" s="6" t="s">
        <v>74</v>
      </c>
      <c r="C27" s="6" t="s">
        <v>31</v>
      </c>
      <c r="D27" s="6" t="s">
        <v>75</v>
      </c>
      <c r="E27" s="6" t="s">
        <v>76</v>
      </c>
      <c r="F27" s="7" t="n">
        <v>0</v>
      </c>
      <c r="G27" s="7" t="n">
        <v>0.75</v>
      </c>
      <c r="H27" s="8" t="n">
        <f aca="false">F27+G27</f>
        <v>0.75</v>
      </c>
    </row>
    <row r="28" customFormat="false" ht="35.05" hidden="false" customHeight="false" outlineLevel="0" collapsed="false">
      <c r="A28" s="9" t="s">
        <v>77</v>
      </c>
      <c r="B28" s="10" t="s">
        <v>78</v>
      </c>
      <c r="C28" s="10" t="s">
        <v>65</v>
      </c>
      <c r="D28" s="10" t="s">
        <v>79</v>
      </c>
      <c r="E28" s="10" t="s">
        <v>80</v>
      </c>
      <c r="F28" s="11" t="n">
        <v>0</v>
      </c>
      <c r="G28" s="11" t="n">
        <v>0.5</v>
      </c>
      <c r="H28" s="12" t="n">
        <f aca="false">F28+G28</f>
        <v>0.5</v>
      </c>
    </row>
    <row r="29" customFormat="false" ht="15" hidden="false" customHeight="false" outlineLevel="0" collapsed="false">
      <c r="A29" s="13" t="s">
        <v>81</v>
      </c>
      <c r="B29" s="13"/>
      <c r="C29" s="13"/>
      <c r="D29" s="13"/>
      <c r="E29" s="13"/>
      <c r="F29" s="14" t="n">
        <f aca="false">SUM(F26:F28)</f>
        <v>0</v>
      </c>
      <c r="G29" s="14" t="n">
        <f aca="false">SUM(G26:G28)</f>
        <v>1.5</v>
      </c>
      <c r="H29" s="14" t="n">
        <f aca="false">SUM(H26:H28)</f>
        <v>1.5</v>
      </c>
    </row>
    <row r="30" customFormat="false" ht="21.75" hidden="false" customHeight="true" outlineLevel="0" collapsed="false">
      <c r="A30" s="2" t="s">
        <v>82</v>
      </c>
      <c r="B30" s="2"/>
      <c r="C30" s="2"/>
      <c r="D30" s="2"/>
      <c r="E30" s="2"/>
      <c r="F30" s="2"/>
      <c r="G30" s="2"/>
      <c r="H30" s="2"/>
    </row>
    <row r="31" customFormat="false" ht="19.5" hidden="false" customHeight="true" outlineLevel="0" collapsed="false">
      <c r="A31" s="3" t="s">
        <v>83</v>
      </c>
      <c r="B31" s="3"/>
      <c r="C31" s="3"/>
      <c r="D31" s="3"/>
      <c r="E31" s="3"/>
      <c r="F31" s="3"/>
      <c r="G31" s="3"/>
      <c r="H31" s="3"/>
    </row>
    <row r="32" customFormat="false" ht="19.5" hidden="false" customHeight="true" outlineLevel="0" collapsed="false">
      <c r="A32" s="4" t="s">
        <v>84</v>
      </c>
      <c r="B32" s="4"/>
      <c r="C32" s="4"/>
      <c r="D32" s="4"/>
      <c r="E32" s="4"/>
      <c r="F32" s="4"/>
      <c r="G32" s="4"/>
      <c r="H32" s="4"/>
    </row>
    <row r="33" customFormat="false" ht="23.85" hidden="false" customHeight="false" outlineLevel="0" collapsed="false">
      <c r="A33" s="5" t="s">
        <v>85</v>
      </c>
      <c r="B33" s="6" t="s">
        <v>86</v>
      </c>
      <c r="C33" s="6" t="s">
        <v>65</v>
      </c>
      <c r="D33" s="6" t="s">
        <v>87</v>
      </c>
      <c r="E33" s="6" t="s">
        <v>88</v>
      </c>
      <c r="F33" s="7" t="n">
        <v>0</v>
      </c>
      <c r="G33" s="7" t="n">
        <v>0.5</v>
      </c>
      <c r="H33" s="8" t="n">
        <f aca="false">F33+G33</f>
        <v>0.5</v>
      </c>
    </row>
    <row r="34" customFormat="false" ht="35.05" hidden="false" customHeight="false" outlineLevel="0" collapsed="false">
      <c r="A34" s="9" t="s">
        <v>89</v>
      </c>
      <c r="B34" s="10" t="s">
        <v>90</v>
      </c>
      <c r="C34" s="10" t="s">
        <v>65</v>
      </c>
      <c r="D34" s="10" t="s">
        <v>91</v>
      </c>
      <c r="E34" s="10" t="s">
        <v>92</v>
      </c>
      <c r="F34" s="11" t="n">
        <v>0</v>
      </c>
      <c r="G34" s="11" t="n">
        <v>1</v>
      </c>
      <c r="H34" s="12" t="n">
        <f aca="false">F34+G34</f>
        <v>1</v>
      </c>
    </row>
    <row r="35" customFormat="false" ht="23.85" hidden="false" customHeight="false" outlineLevel="0" collapsed="false">
      <c r="A35" s="5" t="s">
        <v>93</v>
      </c>
      <c r="B35" s="6" t="s">
        <v>94</v>
      </c>
      <c r="C35" s="6" t="s">
        <v>65</v>
      </c>
      <c r="D35" s="6" t="s">
        <v>95</v>
      </c>
      <c r="E35" s="6" t="s">
        <v>96</v>
      </c>
      <c r="F35" s="7" t="n">
        <v>0</v>
      </c>
      <c r="G35" s="7" t="n">
        <v>1</v>
      </c>
      <c r="H35" s="8" t="n">
        <f aca="false">F35+G35</f>
        <v>1</v>
      </c>
    </row>
    <row r="36" customFormat="false" ht="23.85" hidden="false" customHeight="false" outlineLevel="0" collapsed="false">
      <c r="A36" s="9" t="s">
        <v>97</v>
      </c>
      <c r="B36" s="10" t="s">
        <v>98</v>
      </c>
      <c r="C36" s="10" t="s">
        <v>65</v>
      </c>
      <c r="D36" s="10" t="s">
        <v>99</v>
      </c>
      <c r="E36" s="10" t="s">
        <v>100</v>
      </c>
      <c r="F36" s="11" t="n">
        <v>0</v>
      </c>
      <c r="G36" s="11" t="n">
        <v>0.5</v>
      </c>
      <c r="H36" s="12" t="n">
        <f aca="false">F36+G36</f>
        <v>0.5</v>
      </c>
    </row>
    <row r="37" customFormat="false" ht="23.85" hidden="false" customHeight="false" outlineLevel="0" collapsed="false">
      <c r="A37" s="5" t="s">
        <v>101</v>
      </c>
      <c r="B37" s="6" t="s">
        <v>102</v>
      </c>
      <c r="C37" s="6" t="s">
        <v>65</v>
      </c>
      <c r="D37" s="6" t="s">
        <v>103</v>
      </c>
      <c r="E37" s="6" t="s">
        <v>104</v>
      </c>
      <c r="F37" s="7" t="n">
        <v>0</v>
      </c>
      <c r="G37" s="7" t="n">
        <v>0.5</v>
      </c>
      <c r="H37" s="8" t="n">
        <f aca="false">F37+G37</f>
        <v>0.5</v>
      </c>
    </row>
    <row r="38" customFormat="false" ht="15" hidden="false" customHeight="false" outlineLevel="0" collapsed="false">
      <c r="A38" s="13" t="s">
        <v>105</v>
      </c>
      <c r="B38" s="13"/>
      <c r="C38" s="13"/>
      <c r="D38" s="13"/>
      <c r="E38" s="13"/>
      <c r="F38" s="14" t="n">
        <f aca="false">SUM(F33:F37)</f>
        <v>0</v>
      </c>
      <c r="G38" s="14" t="n">
        <f aca="false">SUM(G33:G37)</f>
        <v>3.5</v>
      </c>
      <c r="H38" s="14" t="n">
        <f aca="false">SUM(H33:H37)</f>
        <v>3.5</v>
      </c>
    </row>
    <row r="39" customFormat="false" ht="19.5" hidden="false" customHeight="true" outlineLevel="0" collapsed="false">
      <c r="A39" s="4" t="s">
        <v>106</v>
      </c>
      <c r="B39" s="4"/>
      <c r="C39" s="4"/>
      <c r="D39" s="4"/>
      <c r="E39" s="4"/>
      <c r="F39" s="4"/>
      <c r="G39" s="4"/>
      <c r="H39" s="4"/>
    </row>
    <row r="40" customFormat="false" ht="35.05" hidden="false" customHeight="false" outlineLevel="0" collapsed="false">
      <c r="A40" s="9" t="s">
        <v>107</v>
      </c>
      <c r="B40" s="10" t="s">
        <v>108</v>
      </c>
      <c r="C40" s="10" t="s">
        <v>109</v>
      </c>
      <c r="D40" s="10" t="s">
        <v>110</v>
      </c>
      <c r="E40" s="10" t="s">
        <v>111</v>
      </c>
      <c r="F40" s="11" t="n">
        <v>0</v>
      </c>
      <c r="G40" s="11" t="n">
        <v>1</v>
      </c>
      <c r="H40" s="12" t="n">
        <f aca="false">F40+G40</f>
        <v>1</v>
      </c>
    </row>
    <row r="41" customFormat="false" ht="23.85" hidden="false" customHeight="false" outlineLevel="0" collapsed="false">
      <c r="A41" s="5" t="s">
        <v>112</v>
      </c>
      <c r="B41" s="6" t="s">
        <v>113</v>
      </c>
      <c r="C41" s="6" t="s">
        <v>114</v>
      </c>
      <c r="D41" s="6" t="s">
        <v>115</v>
      </c>
      <c r="E41" s="6" t="s">
        <v>116</v>
      </c>
      <c r="F41" s="7" t="n">
        <v>0</v>
      </c>
      <c r="G41" s="7" t="n">
        <v>0.5</v>
      </c>
      <c r="H41" s="8" t="n">
        <f aca="false">F41+G41</f>
        <v>0.5</v>
      </c>
    </row>
    <row r="42" customFormat="false" ht="35.05" hidden="false" customHeight="false" outlineLevel="0" collapsed="false">
      <c r="A42" s="9" t="s">
        <v>117</v>
      </c>
      <c r="B42" s="10" t="s">
        <v>118</v>
      </c>
      <c r="C42" s="10" t="s">
        <v>119</v>
      </c>
      <c r="D42" s="10" t="s">
        <v>120</v>
      </c>
      <c r="E42" s="10" t="s">
        <v>121</v>
      </c>
      <c r="F42" s="11" t="n">
        <v>0</v>
      </c>
      <c r="G42" s="11" t="n">
        <v>0.5</v>
      </c>
      <c r="H42" s="12" t="n">
        <f aca="false">F42+G42</f>
        <v>0.5</v>
      </c>
    </row>
    <row r="43" customFormat="false" ht="23.85" hidden="false" customHeight="false" outlineLevel="0" collapsed="false">
      <c r="A43" s="5" t="s">
        <v>122</v>
      </c>
      <c r="B43" s="6" t="s">
        <v>123</v>
      </c>
      <c r="C43" s="6" t="s">
        <v>65</v>
      </c>
      <c r="D43" s="6" t="s">
        <v>124</v>
      </c>
      <c r="E43" s="6" t="s">
        <v>125</v>
      </c>
      <c r="F43" s="7" t="n">
        <v>0</v>
      </c>
      <c r="G43" s="7" t="n">
        <v>0.25</v>
      </c>
      <c r="H43" s="8" t="n">
        <f aca="false">F43+G43</f>
        <v>0.25</v>
      </c>
    </row>
    <row r="44" customFormat="false" ht="15" hidden="false" customHeight="false" outlineLevel="0" collapsed="false">
      <c r="A44" s="13" t="s">
        <v>126</v>
      </c>
      <c r="B44" s="13"/>
      <c r="C44" s="13"/>
      <c r="D44" s="13"/>
      <c r="E44" s="13"/>
      <c r="F44" s="14" t="n">
        <f aca="false">SUM(F40:F43)</f>
        <v>0</v>
      </c>
      <c r="G44" s="14" t="n">
        <f aca="false">SUM(G40:G43)</f>
        <v>2.25</v>
      </c>
      <c r="H44" s="14" t="n">
        <f aca="false">SUM(H40:H43)</f>
        <v>2.25</v>
      </c>
    </row>
    <row r="45" customFormat="false" ht="19.5" hidden="false" customHeight="true" outlineLevel="0" collapsed="false">
      <c r="A45" s="4" t="s">
        <v>127</v>
      </c>
      <c r="B45" s="4"/>
      <c r="C45" s="4"/>
      <c r="D45" s="4"/>
      <c r="E45" s="4"/>
      <c r="F45" s="4"/>
      <c r="G45" s="4"/>
      <c r="H45" s="4"/>
    </row>
    <row r="46" customFormat="false" ht="35.05" hidden="false" customHeight="false" outlineLevel="0" collapsed="false">
      <c r="A46" s="9" t="s">
        <v>128</v>
      </c>
      <c r="B46" s="10" t="s">
        <v>129</v>
      </c>
      <c r="C46" s="10" t="s">
        <v>65</v>
      </c>
      <c r="D46" s="10" t="s">
        <v>130</v>
      </c>
      <c r="E46" s="10" t="s">
        <v>131</v>
      </c>
      <c r="F46" s="11" t="n">
        <v>0</v>
      </c>
      <c r="G46" s="11" t="n">
        <v>0.75</v>
      </c>
      <c r="H46" s="12" t="n">
        <f aca="false">F46+G46</f>
        <v>0.75</v>
      </c>
    </row>
    <row r="47" customFormat="false" ht="35.05" hidden="false" customHeight="false" outlineLevel="0" collapsed="false">
      <c r="A47" s="5" t="s">
        <v>132</v>
      </c>
      <c r="B47" s="6" t="s">
        <v>133</v>
      </c>
      <c r="C47" s="6" t="s">
        <v>65</v>
      </c>
      <c r="D47" s="6" t="s">
        <v>134</v>
      </c>
      <c r="E47" s="6" t="s">
        <v>135</v>
      </c>
      <c r="F47" s="7" t="n">
        <v>0</v>
      </c>
      <c r="G47" s="7" t="n">
        <v>0.5</v>
      </c>
      <c r="H47" s="8" t="n">
        <f aca="false">F47+G47</f>
        <v>0.5</v>
      </c>
    </row>
    <row r="48" customFormat="false" ht="35.05" hidden="false" customHeight="false" outlineLevel="0" collapsed="false">
      <c r="A48" s="9" t="s">
        <v>136</v>
      </c>
      <c r="B48" s="10" t="s">
        <v>137</v>
      </c>
      <c r="C48" s="10" t="s">
        <v>65</v>
      </c>
      <c r="D48" s="10" t="s">
        <v>138</v>
      </c>
      <c r="E48" s="10" t="s">
        <v>139</v>
      </c>
      <c r="F48" s="11" t="n">
        <v>0</v>
      </c>
      <c r="G48" s="11" t="n">
        <v>0.5</v>
      </c>
      <c r="H48" s="12" t="n">
        <f aca="false">F48+G48</f>
        <v>0.5</v>
      </c>
    </row>
    <row r="49" customFormat="false" ht="15" hidden="false" customHeight="false" outlineLevel="0" collapsed="false">
      <c r="A49" s="13" t="s">
        <v>140</v>
      </c>
      <c r="B49" s="13"/>
      <c r="C49" s="13"/>
      <c r="D49" s="13"/>
      <c r="E49" s="13"/>
      <c r="F49" s="14" t="n">
        <f aca="false">SUM(F46:F48)</f>
        <v>0</v>
      </c>
      <c r="G49" s="14" t="n">
        <f aca="false">SUM(G46:G48)</f>
        <v>1.75</v>
      </c>
      <c r="H49" s="14" t="n">
        <f aca="false">SUM(H46:H48)</f>
        <v>1.75</v>
      </c>
    </row>
    <row r="50" customFormat="false" ht="19.5" hidden="false" customHeight="true" outlineLevel="0" collapsed="false">
      <c r="A50" s="3" t="s">
        <v>141</v>
      </c>
      <c r="B50" s="3"/>
      <c r="C50" s="3"/>
      <c r="D50" s="3"/>
      <c r="E50" s="3"/>
      <c r="F50" s="3"/>
      <c r="G50" s="3"/>
      <c r="H50" s="3"/>
    </row>
    <row r="51" customFormat="false" ht="19.5" hidden="false" customHeight="true" outlineLevel="0" collapsed="false">
      <c r="A51" s="4" t="s">
        <v>142</v>
      </c>
      <c r="B51" s="4"/>
      <c r="C51" s="4"/>
      <c r="D51" s="4"/>
      <c r="E51" s="4"/>
      <c r="F51" s="4"/>
      <c r="G51" s="4"/>
      <c r="H51" s="4"/>
    </row>
    <row r="52" customFormat="false" ht="23.85" hidden="false" customHeight="false" outlineLevel="0" collapsed="false">
      <c r="A52" s="9" t="s">
        <v>143</v>
      </c>
      <c r="B52" s="10" t="s">
        <v>144</v>
      </c>
      <c r="C52" s="10" t="s">
        <v>31</v>
      </c>
      <c r="D52" s="10" t="s">
        <v>145</v>
      </c>
      <c r="E52" s="10" t="s">
        <v>146</v>
      </c>
      <c r="F52" s="11" t="n">
        <v>0.75</v>
      </c>
      <c r="G52" s="11" t="n">
        <v>0.25</v>
      </c>
      <c r="H52" s="12" t="n">
        <f aca="false">F52+G52</f>
        <v>1</v>
      </c>
    </row>
    <row r="53" customFormat="false" ht="23.85" hidden="false" customHeight="false" outlineLevel="0" collapsed="false">
      <c r="A53" s="5" t="s">
        <v>147</v>
      </c>
      <c r="B53" s="6" t="s">
        <v>148</v>
      </c>
      <c r="C53" s="6" t="s">
        <v>65</v>
      </c>
      <c r="D53" s="6" t="s">
        <v>149</v>
      </c>
      <c r="E53" s="6" t="s">
        <v>150</v>
      </c>
      <c r="F53" s="7" t="n">
        <v>0.75</v>
      </c>
      <c r="G53" s="7" t="n">
        <v>0.25</v>
      </c>
      <c r="H53" s="8" t="n">
        <f aca="false">F53+G53</f>
        <v>1</v>
      </c>
    </row>
    <row r="54" customFormat="false" ht="15" hidden="false" customHeight="false" outlineLevel="0" collapsed="false">
      <c r="A54" s="13" t="s">
        <v>151</v>
      </c>
      <c r="B54" s="13"/>
      <c r="C54" s="13"/>
      <c r="D54" s="13"/>
      <c r="E54" s="13"/>
      <c r="F54" s="14" t="n">
        <f aca="false">SUM(F52:F53)</f>
        <v>1.5</v>
      </c>
      <c r="G54" s="14" t="n">
        <f aca="false">SUM(G52:G53)</f>
        <v>0.5</v>
      </c>
      <c r="H54" s="14" t="n">
        <f aca="false">SUM(H52:H53)</f>
        <v>2</v>
      </c>
    </row>
    <row r="55" customFormat="false" ht="19.5" hidden="false" customHeight="true" outlineLevel="0" collapsed="false">
      <c r="A55" s="4" t="s">
        <v>152</v>
      </c>
      <c r="B55" s="4"/>
      <c r="C55" s="4"/>
      <c r="D55" s="4"/>
      <c r="E55" s="4"/>
      <c r="F55" s="4"/>
      <c r="G55" s="4"/>
      <c r="H55" s="4"/>
    </row>
    <row r="56" customFormat="false" ht="23.85" hidden="false" customHeight="false" outlineLevel="0" collapsed="false">
      <c r="A56" s="9" t="s">
        <v>153</v>
      </c>
      <c r="B56" s="10" t="s">
        <v>154</v>
      </c>
      <c r="C56" s="10" t="s">
        <v>65</v>
      </c>
      <c r="D56" s="10" t="s">
        <v>155</v>
      </c>
      <c r="E56" s="10" t="s">
        <v>156</v>
      </c>
      <c r="F56" s="11" t="n">
        <v>1</v>
      </c>
      <c r="G56" s="11" t="n">
        <v>0</v>
      </c>
      <c r="H56" s="12" t="n">
        <f aca="false">F56+G56</f>
        <v>1</v>
      </c>
    </row>
    <row r="57" customFormat="false" ht="15" hidden="false" customHeight="false" outlineLevel="0" collapsed="false">
      <c r="A57" s="13" t="s">
        <v>157</v>
      </c>
      <c r="B57" s="13"/>
      <c r="C57" s="13"/>
      <c r="D57" s="13"/>
      <c r="E57" s="13"/>
      <c r="F57" s="14" t="n">
        <f aca="false">SUM(F56)</f>
        <v>1</v>
      </c>
      <c r="G57" s="14" t="n">
        <f aca="false">SUM(G56)</f>
        <v>0</v>
      </c>
      <c r="H57" s="14" t="n">
        <f aca="false">SUM(H56)</f>
        <v>1</v>
      </c>
    </row>
    <row r="58" customFormat="false" ht="21.75" hidden="false" customHeight="true" outlineLevel="0" collapsed="false">
      <c r="A58" s="2" t="s">
        <v>158</v>
      </c>
      <c r="B58" s="2"/>
      <c r="C58" s="2"/>
      <c r="D58" s="2"/>
      <c r="E58" s="2"/>
      <c r="F58" s="2"/>
      <c r="G58" s="2"/>
      <c r="H58" s="2"/>
    </row>
    <row r="59" customFormat="false" ht="19.5" hidden="false" customHeight="true" outlineLevel="0" collapsed="false">
      <c r="A59" s="4" t="s">
        <v>159</v>
      </c>
      <c r="B59" s="4"/>
      <c r="C59" s="4"/>
      <c r="D59" s="4"/>
      <c r="E59" s="4"/>
      <c r="F59" s="4"/>
      <c r="G59" s="4"/>
      <c r="H59" s="4"/>
    </row>
    <row r="60" customFormat="false" ht="35.05" hidden="false" customHeight="false" outlineLevel="0" collapsed="false">
      <c r="A60" s="9" t="s">
        <v>160</v>
      </c>
      <c r="B60" s="10" t="s">
        <v>161</v>
      </c>
      <c r="C60" s="10" t="s">
        <v>65</v>
      </c>
      <c r="D60" s="10" t="s">
        <v>162</v>
      </c>
      <c r="E60" s="10" t="s">
        <v>163</v>
      </c>
      <c r="F60" s="11" t="n">
        <v>0.5</v>
      </c>
      <c r="G60" s="11" t="n">
        <v>0</v>
      </c>
      <c r="H60" s="12" t="n">
        <f aca="false">F60+G60</f>
        <v>0.5</v>
      </c>
    </row>
    <row r="61" customFormat="false" ht="23.85" hidden="false" customHeight="false" outlineLevel="0" collapsed="false">
      <c r="A61" s="5" t="s">
        <v>164</v>
      </c>
      <c r="B61" s="6" t="s">
        <v>165</v>
      </c>
      <c r="C61" s="6" t="s">
        <v>65</v>
      </c>
      <c r="D61" s="6" t="s">
        <v>166</v>
      </c>
      <c r="E61" s="6" t="s">
        <v>167</v>
      </c>
      <c r="F61" s="7" t="n">
        <v>0.5</v>
      </c>
      <c r="G61" s="7" t="n">
        <v>0</v>
      </c>
      <c r="H61" s="8" t="n">
        <f aca="false">F61+G61</f>
        <v>0.5</v>
      </c>
    </row>
    <row r="62" customFormat="false" ht="35.05" hidden="false" customHeight="false" outlineLevel="0" collapsed="false">
      <c r="A62" s="9" t="s">
        <v>168</v>
      </c>
      <c r="B62" s="10" t="s">
        <v>169</v>
      </c>
      <c r="C62" s="10" t="s">
        <v>65</v>
      </c>
      <c r="D62" s="10" t="s">
        <v>170</v>
      </c>
      <c r="E62" s="10" t="s">
        <v>171</v>
      </c>
      <c r="F62" s="11" t="n">
        <v>1</v>
      </c>
      <c r="G62" s="11" t="n">
        <v>0</v>
      </c>
      <c r="H62" s="12" t="n">
        <f aca="false">F62+G62</f>
        <v>1</v>
      </c>
    </row>
    <row r="63" customFormat="false" ht="23.85" hidden="false" customHeight="false" outlineLevel="0" collapsed="false">
      <c r="A63" s="5" t="s">
        <v>172</v>
      </c>
      <c r="B63" s="6" t="s">
        <v>173</v>
      </c>
      <c r="C63" s="6" t="s">
        <v>65</v>
      </c>
      <c r="D63" s="6" t="s">
        <v>174</v>
      </c>
      <c r="E63" s="6" t="s">
        <v>175</v>
      </c>
      <c r="F63" s="7" t="n">
        <v>0.25</v>
      </c>
      <c r="G63" s="7" t="n">
        <v>0</v>
      </c>
      <c r="H63" s="8" t="n">
        <f aca="false">F63+G63</f>
        <v>0.25</v>
      </c>
    </row>
    <row r="64" customFormat="false" ht="15" hidden="false" customHeight="false" outlineLevel="0" collapsed="false">
      <c r="A64" s="13" t="s">
        <v>176</v>
      </c>
      <c r="B64" s="13"/>
      <c r="C64" s="13"/>
      <c r="D64" s="13"/>
      <c r="E64" s="13"/>
      <c r="F64" s="14" t="n">
        <f aca="false">SUM(F60:F63)</f>
        <v>2.25</v>
      </c>
      <c r="G64" s="14" t="n">
        <f aca="false">SUM(G60:G63)</f>
        <v>0</v>
      </c>
      <c r="H64" s="14" t="n">
        <f aca="false">SUM(H60:H63)</f>
        <v>2.25</v>
      </c>
    </row>
    <row r="65" customFormat="false" ht="19.5" hidden="false" customHeight="true" outlineLevel="0" collapsed="false">
      <c r="A65" s="4" t="s">
        <v>177</v>
      </c>
      <c r="B65" s="4"/>
      <c r="C65" s="4"/>
      <c r="D65" s="4"/>
      <c r="E65" s="4"/>
      <c r="F65" s="4"/>
      <c r="G65" s="4"/>
      <c r="H65" s="4"/>
    </row>
    <row r="66" customFormat="false" ht="23.85" hidden="false" customHeight="false" outlineLevel="0" collapsed="false">
      <c r="A66" s="9" t="s">
        <v>178</v>
      </c>
      <c r="B66" s="10" t="s">
        <v>179</v>
      </c>
      <c r="C66" s="10" t="s">
        <v>65</v>
      </c>
      <c r="D66" s="10" t="s">
        <v>180</v>
      </c>
      <c r="E66" s="10" t="s">
        <v>181</v>
      </c>
      <c r="F66" s="11" t="n">
        <v>1</v>
      </c>
      <c r="G66" s="11" t="n">
        <v>0</v>
      </c>
      <c r="H66" s="12" t="n">
        <f aca="false">F66+G66</f>
        <v>1</v>
      </c>
    </row>
    <row r="67" customFormat="false" ht="15" hidden="false" customHeight="false" outlineLevel="0" collapsed="false">
      <c r="A67" s="13" t="s">
        <v>182</v>
      </c>
      <c r="B67" s="13"/>
      <c r="C67" s="13"/>
      <c r="D67" s="13"/>
      <c r="E67" s="13"/>
      <c r="F67" s="14" t="n">
        <f aca="false">SUM(F66)</f>
        <v>1</v>
      </c>
      <c r="G67" s="14" t="n">
        <f aca="false">SUM(G66)</f>
        <v>0</v>
      </c>
      <c r="H67" s="14" t="n">
        <f aca="false">SUM(H66)</f>
        <v>1</v>
      </c>
    </row>
    <row r="68" customFormat="false" ht="19.5" hidden="false" customHeight="true" outlineLevel="0" collapsed="false">
      <c r="A68" s="4" t="s">
        <v>183</v>
      </c>
      <c r="B68" s="4"/>
      <c r="C68" s="4"/>
      <c r="D68" s="4"/>
      <c r="E68" s="4"/>
      <c r="F68" s="4"/>
      <c r="G68" s="4"/>
      <c r="H68" s="4"/>
    </row>
    <row r="69" customFormat="false" ht="23.85" hidden="false" customHeight="false" outlineLevel="0" collapsed="false">
      <c r="A69" s="5" t="s">
        <v>184</v>
      </c>
      <c r="B69" s="6" t="s">
        <v>185</v>
      </c>
      <c r="C69" s="6" t="s">
        <v>65</v>
      </c>
      <c r="D69" s="6" t="s">
        <v>186</v>
      </c>
      <c r="E69" s="6" t="s">
        <v>187</v>
      </c>
      <c r="F69" s="7" t="n">
        <v>1</v>
      </c>
      <c r="G69" s="7" t="n">
        <v>0</v>
      </c>
      <c r="H69" s="8" t="n">
        <f aca="false">F69+G69</f>
        <v>1</v>
      </c>
    </row>
    <row r="70" customFormat="false" ht="23.85" hidden="false" customHeight="false" outlineLevel="0" collapsed="false">
      <c r="A70" s="9" t="s">
        <v>188</v>
      </c>
      <c r="B70" s="10" t="s">
        <v>189</v>
      </c>
      <c r="C70" s="10" t="s">
        <v>65</v>
      </c>
      <c r="D70" s="10" t="s">
        <v>190</v>
      </c>
      <c r="E70" s="10" t="s">
        <v>191</v>
      </c>
      <c r="F70" s="11" t="n">
        <v>0.25</v>
      </c>
      <c r="G70" s="11" t="n">
        <v>0</v>
      </c>
      <c r="H70" s="12" t="n">
        <f aca="false">F70+G70</f>
        <v>0.25</v>
      </c>
    </row>
    <row r="71" customFormat="false" ht="23.85" hidden="false" customHeight="false" outlineLevel="0" collapsed="false">
      <c r="A71" s="5" t="s">
        <v>192</v>
      </c>
      <c r="B71" s="6" t="s">
        <v>193</v>
      </c>
      <c r="C71" s="6" t="s">
        <v>65</v>
      </c>
      <c r="D71" s="6" t="s">
        <v>194</v>
      </c>
      <c r="E71" s="6" t="s">
        <v>195</v>
      </c>
      <c r="F71" s="7" t="n">
        <v>0.25</v>
      </c>
      <c r="G71" s="7" t="n">
        <v>0</v>
      </c>
      <c r="H71" s="8" t="n">
        <f aca="false">F71+G71</f>
        <v>0.25</v>
      </c>
    </row>
    <row r="72" customFormat="false" ht="15" hidden="false" customHeight="false" outlineLevel="0" collapsed="false">
      <c r="A72" s="13" t="s">
        <v>196</v>
      </c>
      <c r="B72" s="13"/>
      <c r="C72" s="13"/>
      <c r="D72" s="13"/>
      <c r="E72" s="13"/>
      <c r="F72" s="14" t="n">
        <f aca="false">SUM(F69:F71)</f>
        <v>1.5</v>
      </c>
      <c r="G72" s="14" t="n">
        <f aca="false">SUM(G69:G71)</f>
        <v>0</v>
      </c>
      <c r="H72" s="14" t="n">
        <f aca="false">SUM(H69:H71)</f>
        <v>1.5</v>
      </c>
    </row>
    <row r="73" customFormat="false" ht="19.5" hidden="false" customHeight="true" outlineLevel="0" collapsed="false">
      <c r="A73" s="4" t="s">
        <v>197</v>
      </c>
      <c r="B73" s="4"/>
      <c r="C73" s="4"/>
      <c r="D73" s="4"/>
      <c r="E73" s="4"/>
      <c r="F73" s="4"/>
      <c r="G73" s="4"/>
      <c r="H73" s="4"/>
    </row>
    <row r="74" customFormat="false" ht="23.85" hidden="false" customHeight="false" outlineLevel="0" collapsed="false">
      <c r="A74" s="9" t="s">
        <v>198</v>
      </c>
      <c r="B74" s="10" t="s">
        <v>199</v>
      </c>
      <c r="C74" s="10" t="s">
        <v>65</v>
      </c>
      <c r="D74" s="10" t="s">
        <v>200</v>
      </c>
      <c r="E74" s="10" t="s">
        <v>201</v>
      </c>
      <c r="F74" s="11" t="n">
        <v>0.25</v>
      </c>
      <c r="G74" s="11" t="n">
        <v>0</v>
      </c>
      <c r="H74" s="12" t="n">
        <f aca="false">F74+G74</f>
        <v>0.25</v>
      </c>
    </row>
    <row r="75" customFormat="false" ht="23.85" hidden="false" customHeight="false" outlineLevel="0" collapsed="false">
      <c r="A75" s="5" t="s">
        <v>202</v>
      </c>
      <c r="B75" s="6" t="s">
        <v>203</v>
      </c>
      <c r="C75" s="6" t="s">
        <v>65</v>
      </c>
      <c r="D75" s="6" t="s">
        <v>204</v>
      </c>
      <c r="E75" s="6" t="s">
        <v>205</v>
      </c>
      <c r="F75" s="7" t="n">
        <v>0.25</v>
      </c>
      <c r="G75" s="7" t="n">
        <v>0</v>
      </c>
      <c r="H75" s="8" t="n">
        <f aca="false">F75+G75</f>
        <v>0.25</v>
      </c>
    </row>
    <row r="76" customFormat="false" ht="15" hidden="false" customHeight="false" outlineLevel="0" collapsed="false">
      <c r="A76" s="13" t="s">
        <v>206</v>
      </c>
      <c r="B76" s="13"/>
      <c r="C76" s="13"/>
      <c r="D76" s="13"/>
      <c r="E76" s="13"/>
      <c r="F76" s="14" t="n">
        <f aca="false">SUM(F74:F75)</f>
        <v>0.5</v>
      </c>
      <c r="G76" s="14" t="n">
        <f aca="false">SUM(G74:G75)</f>
        <v>0</v>
      </c>
      <c r="H76" s="14" t="n">
        <f aca="false">SUM(H74:H75)</f>
        <v>0.5</v>
      </c>
    </row>
    <row r="77" customFormat="false" ht="19.5" hidden="false" customHeight="true" outlineLevel="0" collapsed="false">
      <c r="A77" s="3" t="s">
        <v>207</v>
      </c>
      <c r="B77" s="3"/>
      <c r="C77" s="3"/>
      <c r="D77" s="3"/>
      <c r="E77" s="3"/>
      <c r="F77" s="3"/>
      <c r="G77" s="3"/>
      <c r="H77" s="3"/>
    </row>
    <row r="78" customFormat="false" ht="19.5" hidden="false" customHeight="true" outlineLevel="0" collapsed="false">
      <c r="A78" s="4" t="s">
        <v>208</v>
      </c>
      <c r="B78" s="4"/>
      <c r="C78" s="4"/>
      <c r="D78" s="4"/>
      <c r="E78" s="4"/>
      <c r="F78" s="4"/>
      <c r="G78" s="4"/>
      <c r="H78" s="4"/>
    </row>
    <row r="79" customFormat="false" ht="23.85" hidden="false" customHeight="false" outlineLevel="0" collapsed="false">
      <c r="A79" s="5" t="s">
        <v>209</v>
      </c>
      <c r="B79" s="6" t="s">
        <v>210</v>
      </c>
      <c r="C79" s="6" t="s">
        <v>31</v>
      </c>
      <c r="D79" s="6" t="s">
        <v>211</v>
      </c>
      <c r="E79" s="6" t="s">
        <v>212</v>
      </c>
      <c r="F79" s="7" t="n">
        <v>0.75</v>
      </c>
      <c r="G79" s="7" t="n">
        <v>0.25</v>
      </c>
      <c r="H79" s="8" t="n">
        <f aca="false">F79+G79</f>
        <v>1</v>
      </c>
    </row>
    <row r="80" customFormat="false" ht="23.85" hidden="false" customHeight="false" outlineLevel="0" collapsed="false">
      <c r="A80" s="9" t="s">
        <v>213</v>
      </c>
      <c r="B80" s="10" t="s">
        <v>214</v>
      </c>
      <c r="C80" s="10" t="s">
        <v>215</v>
      </c>
      <c r="D80" s="10" t="s">
        <v>216</v>
      </c>
      <c r="E80" s="10" t="s">
        <v>217</v>
      </c>
      <c r="F80" s="11" t="n">
        <v>0.5</v>
      </c>
      <c r="G80" s="11" t="n">
        <v>0.25</v>
      </c>
      <c r="H80" s="12" t="n">
        <f aca="false">F80+G80</f>
        <v>0.75</v>
      </c>
    </row>
    <row r="81" customFormat="false" ht="15" hidden="false" customHeight="false" outlineLevel="0" collapsed="false">
      <c r="A81" s="13" t="s">
        <v>218</v>
      </c>
      <c r="B81" s="13"/>
      <c r="C81" s="13"/>
      <c r="D81" s="13"/>
      <c r="E81" s="13"/>
      <c r="F81" s="14" t="n">
        <f aca="false">SUM(F79:F80)</f>
        <v>1.25</v>
      </c>
      <c r="G81" s="14" t="n">
        <f aca="false">SUM(G79:G80)</f>
        <v>0.5</v>
      </c>
      <c r="H81" s="14" t="n">
        <f aca="false">SUM(H79:H80)</f>
        <v>1.75</v>
      </c>
    </row>
    <row r="82" customFormat="false" ht="21.75" hidden="false" customHeight="true" outlineLevel="0" collapsed="false">
      <c r="A82" s="2" t="s">
        <v>219</v>
      </c>
      <c r="B82" s="2"/>
      <c r="C82" s="2"/>
      <c r="D82" s="2"/>
      <c r="E82" s="2"/>
      <c r="F82" s="2"/>
      <c r="G82" s="2"/>
      <c r="H82" s="2"/>
    </row>
    <row r="83" customFormat="false" ht="19.5" hidden="false" customHeight="true" outlineLevel="0" collapsed="false">
      <c r="A83" s="4" t="s">
        <v>220</v>
      </c>
      <c r="B83" s="4"/>
      <c r="C83" s="4"/>
      <c r="D83" s="4"/>
      <c r="E83" s="4"/>
      <c r="F83" s="4"/>
      <c r="G83" s="4"/>
      <c r="H83" s="4"/>
    </row>
    <row r="84" customFormat="false" ht="23.85" hidden="false" customHeight="false" outlineLevel="0" collapsed="false">
      <c r="A84" s="9" t="s">
        <v>221</v>
      </c>
      <c r="B84" s="10" t="s">
        <v>222</v>
      </c>
      <c r="C84" s="10" t="s">
        <v>109</v>
      </c>
      <c r="D84" s="10" t="s">
        <v>223</v>
      </c>
      <c r="E84" s="10" t="s">
        <v>224</v>
      </c>
      <c r="F84" s="11" t="n">
        <v>0.5</v>
      </c>
      <c r="G84" s="11" t="n">
        <v>0</v>
      </c>
      <c r="H84" s="12" t="n">
        <f aca="false">F84+G84</f>
        <v>0.5</v>
      </c>
    </row>
    <row r="85" customFormat="false" ht="35.05" hidden="false" customHeight="false" outlineLevel="0" collapsed="false">
      <c r="A85" s="5" t="s">
        <v>225</v>
      </c>
      <c r="B85" s="6" t="s">
        <v>226</v>
      </c>
      <c r="C85" s="6" t="s">
        <v>109</v>
      </c>
      <c r="D85" s="6" t="s">
        <v>227</v>
      </c>
      <c r="E85" s="6" t="s">
        <v>228</v>
      </c>
      <c r="F85" s="7" t="n">
        <v>2.5</v>
      </c>
      <c r="G85" s="7" t="n">
        <v>0.5</v>
      </c>
      <c r="H85" s="8" t="n">
        <f aca="false">F85+G85</f>
        <v>3</v>
      </c>
    </row>
    <row r="86" customFormat="false" ht="23.85" hidden="false" customHeight="false" outlineLevel="0" collapsed="false">
      <c r="A86" s="9" t="s">
        <v>229</v>
      </c>
      <c r="B86" s="10" t="s">
        <v>230</v>
      </c>
      <c r="C86" s="10" t="s">
        <v>109</v>
      </c>
      <c r="D86" s="10" t="s">
        <v>231</v>
      </c>
      <c r="E86" s="10" t="s">
        <v>232</v>
      </c>
      <c r="F86" s="11" t="n">
        <v>0.5</v>
      </c>
      <c r="G86" s="11" t="n">
        <v>0</v>
      </c>
      <c r="H86" s="12" t="n">
        <f aca="false">F86+G86</f>
        <v>0.5</v>
      </c>
    </row>
    <row r="87" customFormat="false" ht="15" hidden="false" customHeight="false" outlineLevel="0" collapsed="false">
      <c r="A87" s="13" t="s">
        <v>233</v>
      </c>
      <c r="B87" s="13"/>
      <c r="C87" s="13"/>
      <c r="D87" s="13"/>
      <c r="E87" s="13"/>
      <c r="F87" s="14" t="n">
        <f aca="false">SUM(F84:F86)</f>
        <v>3.5</v>
      </c>
      <c r="G87" s="14" t="n">
        <f aca="false">SUM(G84:G86)</f>
        <v>0.5</v>
      </c>
      <c r="H87" s="14" t="n">
        <f aca="false">SUM(H84:H86)</f>
        <v>4</v>
      </c>
    </row>
    <row r="88" customFormat="false" ht="19.5" hidden="false" customHeight="true" outlineLevel="0" collapsed="false">
      <c r="A88" s="4" t="s">
        <v>234</v>
      </c>
      <c r="B88" s="4"/>
      <c r="C88" s="4"/>
      <c r="D88" s="4"/>
      <c r="E88" s="4"/>
      <c r="F88" s="4"/>
      <c r="G88" s="4"/>
      <c r="H88" s="4"/>
    </row>
    <row r="89" customFormat="false" ht="23.85" hidden="false" customHeight="false" outlineLevel="0" collapsed="false">
      <c r="A89" s="5" t="s">
        <v>235</v>
      </c>
      <c r="B89" s="6" t="s">
        <v>236</v>
      </c>
      <c r="C89" s="6" t="s">
        <v>119</v>
      </c>
      <c r="D89" s="6" t="s">
        <v>237</v>
      </c>
      <c r="E89" s="6" t="s">
        <v>238</v>
      </c>
      <c r="F89" s="7" t="n">
        <v>1</v>
      </c>
      <c r="G89" s="7" t="n">
        <v>0.25</v>
      </c>
      <c r="H89" s="8" t="n">
        <f aca="false">F89+G89</f>
        <v>1.25</v>
      </c>
    </row>
    <row r="90" customFormat="false" ht="23.85" hidden="false" customHeight="false" outlineLevel="0" collapsed="false">
      <c r="A90" s="9" t="s">
        <v>239</v>
      </c>
      <c r="B90" s="10" t="s">
        <v>240</v>
      </c>
      <c r="C90" s="10" t="s">
        <v>119</v>
      </c>
      <c r="D90" s="10" t="s">
        <v>241</v>
      </c>
      <c r="E90" s="10" t="s">
        <v>242</v>
      </c>
      <c r="F90" s="11" t="n">
        <v>0.5</v>
      </c>
      <c r="G90" s="11" t="n">
        <v>0.25</v>
      </c>
      <c r="H90" s="12" t="n">
        <f aca="false">F90+G90</f>
        <v>0.75</v>
      </c>
    </row>
    <row r="91" customFormat="false" ht="15" hidden="false" customHeight="false" outlineLevel="0" collapsed="false">
      <c r="A91" s="13" t="s">
        <v>243</v>
      </c>
      <c r="B91" s="13"/>
      <c r="C91" s="13"/>
      <c r="D91" s="13"/>
      <c r="E91" s="13"/>
      <c r="F91" s="14" t="n">
        <f aca="false">SUM(F89:F90)</f>
        <v>1.5</v>
      </c>
      <c r="G91" s="14" t="n">
        <f aca="false">SUM(G89:G90)</f>
        <v>0.5</v>
      </c>
      <c r="H91" s="14" t="n">
        <f aca="false">SUM(H89:H90)</f>
        <v>2</v>
      </c>
    </row>
    <row r="92" customFormat="false" ht="19.5" hidden="false" customHeight="true" outlineLevel="0" collapsed="false">
      <c r="A92" s="4" t="s">
        <v>244</v>
      </c>
      <c r="B92" s="4"/>
      <c r="C92" s="4"/>
      <c r="D92" s="4"/>
      <c r="E92" s="4"/>
      <c r="F92" s="4"/>
      <c r="G92" s="4"/>
      <c r="H92" s="4"/>
    </row>
    <row r="93" customFormat="false" ht="35.05" hidden="false" customHeight="false" outlineLevel="0" collapsed="false">
      <c r="A93" s="5" t="s">
        <v>245</v>
      </c>
      <c r="B93" s="6" t="s">
        <v>246</v>
      </c>
      <c r="C93" s="6" t="s">
        <v>247</v>
      </c>
      <c r="D93" s="6" t="s">
        <v>248</v>
      </c>
      <c r="E93" s="6" t="s">
        <v>249</v>
      </c>
      <c r="F93" s="7" t="n">
        <v>1.5</v>
      </c>
      <c r="G93" s="7" t="n">
        <v>0.5</v>
      </c>
      <c r="H93" s="8" t="n">
        <f aca="false">F93+G93</f>
        <v>2</v>
      </c>
    </row>
    <row r="94" customFormat="false" ht="23.85" hidden="false" customHeight="false" outlineLevel="0" collapsed="false">
      <c r="A94" s="9" t="s">
        <v>250</v>
      </c>
      <c r="B94" s="10" t="s">
        <v>251</v>
      </c>
      <c r="C94" s="10" t="s">
        <v>215</v>
      </c>
      <c r="D94" s="10" t="s">
        <v>252</v>
      </c>
      <c r="E94" s="10" t="s">
        <v>253</v>
      </c>
      <c r="F94" s="11" t="n">
        <v>0.25</v>
      </c>
      <c r="G94" s="11" t="n">
        <v>0</v>
      </c>
      <c r="H94" s="12" t="n">
        <f aca="false">F94+G94</f>
        <v>0.25</v>
      </c>
    </row>
    <row r="95" customFormat="false" ht="15" hidden="false" customHeight="false" outlineLevel="0" collapsed="false">
      <c r="A95" s="13" t="s">
        <v>254</v>
      </c>
      <c r="B95" s="13"/>
      <c r="C95" s="13"/>
      <c r="D95" s="13"/>
      <c r="E95" s="13"/>
      <c r="F95" s="14" t="n">
        <f aca="false">SUM(F93:F94)</f>
        <v>1.75</v>
      </c>
      <c r="G95" s="14" t="n">
        <f aca="false">SUM(G93:G94)</f>
        <v>0.5</v>
      </c>
      <c r="H95" s="14" t="n">
        <f aca="false">SUM(H93:H94)</f>
        <v>2.25</v>
      </c>
    </row>
    <row r="96" customFormat="false" ht="19.5" hidden="false" customHeight="true" outlineLevel="0" collapsed="false">
      <c r="A96" s="3" t="s">
        <v>255</v>
      </c>
      <c r="B96" s="3"/>
      <c r="C96" s="3"/>
      <c r="D96" s="3"/>
      <c r="E96" s="3"/>
      <c r="F96" s="3"/>
      <c r="G96" s="3"/>
      <c r="H96" s="3"/>
    </row>
    <row r="97" customFormat="false" ht="19.5" hidden="false" customHeight="true" outlineLevel="0" collapsed="false">
      <c r="A97" s="4" t="s">
        <v>256</v>
      </c>
      <c r="B97" s="4"/>
      <c r="C97" s="4"/>
      <c r="D97" s="4"/>
      <c r="E97" s="4"/>
      <c r="F97" s="4"/>
      <c r="G97" s="4"/>
      <c r="H97" s="4"/>
    </row>
    <row r="98" customFormat="false" ht="23.85" hidden="false" customHeight="false" outlineLevel="0" collapsed="false">
      <c r="A98" s="9" t="s">
        <v>257</v>
      </c>
      <c r="B98" s="10" t="s">
        <v>258</v>
      </c>
      <c r="C98" s="10" t="s">
        <v>31</v>
      </c>
      <c r="D98" s="10" t="s">
        <v>259</v>
      </c>
      <c r="E98" s="10" t="s">
        <v>260</v>
      </c>
      <c r="F98" s="11" t="n">
        <v>0</v>
      </c>
      <c r="G98" s="11" t="n">
        <v>1</v>
      </c>
      <c r="H98" s="12" t="n">
        <f aca="false">F98+G98</f>
        <v>1</v>
      </c>
    </row>
    <row r="99" customFormat="false" ht="35.05" hidden="false" customHeight="false" outlineLevel="0" collapsed="false">
      <c r="A99" s="5" t="s">
        <v>261</v>
      </c>
      <c r="B99" s="6" t="s">
        <v>262</v>
      </c>
      <c r="C99" s="6" t="s">
        <v>31</v>
      </c>
      <c r="D99" s="6" t="s">
        <v>263</v>
      </c>
      <c r="E99" s="6" t="s">
        <v>264</v>
      </c>
      <c r="F99" s="7" t="n">
        <v>0</v>
      </c>
      <c r="G99" s="7" t="n">
        <v>1</v>
      </c>
      <c r="H99" s="8" t="n">
        <f aca="false">F99+G99</f>
        <v>1</v>
      </c>
    </row>
    <row r="100" customFormat="false" ht="15" hidden="false" customHeight="false" outlineLevel="0" collapsed="false">
      <c r="A100" s="13" t="s">
        <v>265</v>
      </c>
      <c r="B100" s="13"/>
      <c r="C100" s="13"/>
      <c r="D100" s="13"/>
      <c r="E100" s="13"/>
      <c r="F100" s="14" t="n">
        <f aca="false">SUM(F98:F99)</f>
        <v>0</v>
      </c>
      <c r="G100" s="14" t="n">
        <f aca="false">SUM(G98:G99)</f>
        <v>2</v>
      </c>
      <c r="H100" s="14" t="n">
        <f aca="false">SUM(H98:H99)</f>
        <v>2</v>
      </c>
    </row>
    <row r="101" customFormat="false" ht="19.5" hidden="false" customHeight="true" outlineLevel="0" collapsed="false">
      <c r="A101" s="4" t="s">
        <v>266</v>
      </c>
      <c r="B101" s="4"/>
      <c r="C101" s="4"/>
      <c r="D101" s="4"/>
      <c r="E101" s="4"/>
      <c r="F101" s="4"/>
      <c r="G101" s="4"/>
      <c r="H101" s="4"/>
    </row>
    <row r="102" customFormat="false" ht="35.05" hidden="false" customHeight="false" outlineLevel="0" collapsed="false">
      <c r="A102" s="9" t="s">
        <v>267</v>
      </c>
      <c r="B102" s="10" t="s">
        <v>268</v>
      </c>
      <c r="C102" s="10" t="s">
        <v>119</v>
      </c>
      <c r="D102" s="10" t="s">
        <v>269</v>
      </c>
      <c r="E102" s="10" t="s">
        <v>270</v>
      </c>
      <c r="F102" s="11" t="n">
        <v>0</v>
      </c>
      <c r="G102" s="11" t="n">
        <v>2</v>
      </c>
      <c r="H102" s="12" t="n">
        <f aca="false">F102+G102</f>
        <v>2</v>
      </c>
    </row>
    <row r="103" customFormat="false" ht="15" hidden="false" customHeight="false" outlineLevel="0" collapsed="false">
      <c r="A103" s="13" t="s">
        <v>271</v>
      </c>
      <c r="B103" s="13"/>
      <c r="C103" s="13"/>
      <c r="D103" s="13"/>
      <c r="E103" s="13"/>
      <c r="F103" s="14" t="n">
        <f aca="false">SUM(F102)</f>
        <v>0</v>
      </c>
      <c r="G103" s="14" t="n">
        <f aca="false">SUM(G102)</f>
        <v>2</v>
      </c>
      <c r="H103" s="14" t="n">
        <f aca="false">SUM(H102)</f>
        <v>2</v>
      </c>
    </row>
    <row r="104" customFormat="false" ht="21.75" hidden="false" customHeight="true" outlineLevel="0" collapsed="false">
      <c r="A104" s="2" t="s">
        <v>272</v>
      </c>
      <c r="B104" s="2"/>
      <c r="C104" s="2"/>
      <c r="D104" s="2"/>
      <c r="E104" s="2"/>
      <c r="F104" s="2"/>
      <c r="G104" s="2"/>
      <c r="H104" s="2"/>
    </row>
    <row r="105" customFormat="false" ht="19.5" hidden="false" customHeight="true" outlineLevel="0" collapsed="false">
      <c r="A105" s="3" t="s">
        <v>273</v>
      </c>
      <c r="B105" s="3"/>
      <c r="C105" s="3"/>
      <c r="D105" s="3"/>
      <c r="E105" s="3"/>
      <c r="F105" s="3"/>
      <c r="G105" s="3"/>
      <c r="H105" s="3"/>
    </row>
    <row r="106" customFormat="false" ht="19.5" hidden="false" customHeight="true" outlineLevel="0" collapsed="false">
      <c r="A106" s="4" t="s">
        <v>274</v>
      </c>
      <c r="B106" s="4"/>
      <c r="C106" s="4"/>
      <c r="D106" s="4"/>
      <c r="E106" s="4"/>
      <c r="F106" s="4"/>
      <c r="G106" s="4"/>
      <c r="H106" s="4"/>
    </row>
    <row r="107" customFormat="false" ht="35.05" hidden="false" customHeight="false" outlineLevel="0" collapsed="false">
      <c r="A107" s="5" t="s">
        <v>275</v>
      </c>
      <c r="B107" s="6" t="s">
        <v>276</v>
      </c>
      <c r="C107" s="6" t="s">
        <v>65</v>
      </c>
      <c r="D107" s="6" t="s">
        <v>277</v>
      </c>
      <c r="E107" s="6" t="s">
        <v>278</v>
      </c>
      <c r="F107" s="7" t="n">
        <v>0</v>
      </c>
      <c r="G107" s="7" t="n">
        <v>1</v>
      </c>
      <c r="H107" s="8" t="n">
        <f aca="false">F107+G107</f>
        <v>1</v>
      </c>
    </row>
    <row r="108" customFormat="false" ht="15" hidden="false" customHeight="false" outlineLevel="0" collapsed="false">
      <c r="A108" s="13" t="s">
        <v>279</v>
      </c>
      <c r="B108" s="13"/>
      <c r="C108" s="13"/>
      <c r="D108" s="13"/>
      <c r="E108" s="13"/>
      <c r="F108" s="14" t="n">
        <f aca="false">SUM(F107)</f>
        <v>0</v>
      </c>
      <c r="G108" s="14" t="n">
        <f aca="false">SUM(G107)</f>
        <v>1</v>
      </c>
      <c r="H108" s="14" t="n">
        <f aca="false">SUM(H107)</f>
        <v>1</v>
      </c>
    </row>
    <row r="109" customFormat="false" ht="19.5" hidden="false" customHeight="true" outlineLevel="0" collapsed="false">
      <c r="A109" s="4" t="s">
        <v>280</v>
      </c>
      <c r="B109" s="4"/>
      <c r="C109" s="4"/>
      <c r="D109" s="4"/>
      <c r="E109" s="4"/>
      <c r="F109" s="4"/>
      <c r="G109" s="4"/>
      <c r="H109" s="4"/>
    </row>
    <row r="110" customFormat="false" ht="35.05" hidden="false" customHeight="false" outlineLevel="0" collapsed="false">
      <c r="A110" s="9" t="s">
        <v>281</v>
      </c>
      <c r="B110" s="10" t="s">
        <v>282</v>
      </c>
      <c r="C110" s="10" t="s">
        <v>283</v>
      </c>
      <c r="D110" s="10" t="s">
        <v>284</v>
      </c>
      <c r="E110" s="10" t="s">
        <v>285</v>
      </c>
      <c r="F110" s="11" t="n">
        <v>0</v>
      </c>
      <c r="G110" s="11" t="n">
        <v>1</v>
      </c>
      <c r="H110" s="12" t="n">
        <f aca="false">F110+G110</f>
        <v>1</v>
      </c>
    </row>
    <row r="111" customFormat="false" ht="15" hidden="false" customHeight="false" outlineLevel="0" collapsed="false">
      <c r="A111" s="13" t="s">
        <v>286</v>
      </c>
      <c r="B111" s="13"/>
      <c r="C111" s="13"/>
      <c r="D111" s="13"/>
      <c r="E111" s="13"/>
      <c r="F111" s="14" t="n">
        <f aca="false">SUM(F110)</f>
        <v>0</v>
      </c>
      <c r="G111" s="14" t="n">
        <f aca="false">SUM(G110)</f>
        <v>1</v>
      </c>
      <c r="H111" s="14" t="n">
        <f aca="false">SUM(H110)</f>
        <v>1</v>
      </c>
    </row>
    <row r="112" customFormat="false" ht="19.5" hidden="false" customHeight="true" outlineLevel="0" collapsed="false">
      <c r="A112" s="3" t="s">
        <v>287</v>
      </c>
      <c r="B112" s="3"/>
      <c r="C112" s="3"/>
      <c r="D112" s="3"/>
      <c r="E112" s="3"/>
      <c r="F112" s="3"/>
      <c r="G112" s="3"/>
      <c r="H112" s="3"/>
    </row>
    <row r="113" customFormat="false" ht="19.5" hidden="false" customHeight="true" outlineLevel="0" collapsed="false">
      <c r="A113" s="4" t="s">
        <v>288</v>
      </c>
      <c r="B113" s="4"/>
      <c r="C113" s="4"/>
      <c r="D113" s="4"/>
      <c r="E113" s="4"/>
      <c r="F113" s="4"/>
      <c r="G113" s="4"/>
      <c r="H113" s="4"/>
    </row>
    <row r="114" customFormat="false" ht="35.05" hidden="false" customHeight="false" outlineLevel="0" collapsed="false">
      <c r="A114" s="9" t="s">
        <v>289</v>
      </c>
      <c r="B114" s="10" t="s">
        <v>290</v>
      </c>
      <c r="C114" s="10" t="s">
        <v>291</v>
      </c>
      <c r="D114" s="10" t="s">
        <v>292</v>
      </c>
      <c r="E114" s="10" t="s">
        <v>293</v>
      </c>
      <c r="F114" s="11" t="n">
        <v>0.5</v>
      </c>
      <c r="G114" s="11" t="n">
        <v>1</v>
      </c>
      <c r="H114" s="12" t="n">
        <f aca="false">F114+G114</f>
        <v>1.5</v>
      </c>
    </row>
    <row r="115" customFormat="false" ht="23.85" hidden="false" customHeight="false" outlineLevel="0" collapsed="false">
      <c r="A115" s="5" t="s">
        <v>294</v>
      </c>
      <c r="B115" s="6" t="s">
        <v>295</v>
      </c>
      <c r="C115" s="6" t="s">
        <v>291</v>
      </c>
      <c r="D115" s="6" t="s">
        <v>296</v>
      </c>
      <c r="E115" s="6" t="s">
        <v>297</v>
      </c>
      <c r="F115" s="7" t="n">
        <v>0.5</v>
      </c>
      <c r="G115" s="7" t="n">
        <v>0.5</v>
      </c>
      <c r="H115" s="8" t="n">
        <f aca="false">F115+G115</f>
        <v>1</v>
      </c>
    </row>
    <row r="116" customFormat="false" ht="23.85" hidden="false" customHeight="false" outlineLevel="0" collapsed="false">
      <c r="A116" s="9" t="s">
        <v>298</v>
      </c>
      <c r="B116" s="10" t="s">
        <v>299</v>
      </c>
      <c r="C116" s="10" t="s">
        <v>300</v>
      </c>
      <c r="D116" s="10" t="s">
        <v>301</v>
      </c>
      <c r="E116" s="10" t="s">
        <v>302</v>
      </c>
      <c r="F116" s="11" t="n">
        <v>0</v>
      </c>
      <c r="G116" s="11" t="n">
        <v>1.5</v>
      </c>
      <c r="H116" s="12" t="n">
        <f aca="false">F116+G116</f>
        <v>1.5</v>
      </c>
    </row>
    <row r="117" customFormat="false" ht="15" hidden="false" customHeight="false" outlineLevel="0" collapsed="false">
      <c r="A117" s="13" t="s">
        <v>303</v>
      </c>
      <c r="B117" s="13"/>
      <c r="C117" s="13"/>
      <c r="D117" s="13"/>
      <c r="E117" s="13"/>
      <c r="F117" s="14" t="n">
        <f aca="false">SUM(F114:F116)</f>
        <v>1</v>
      </c>
      <c r="G117" s="14" t="n">
        <f aca="false">SUM(G114:G116)</f>
        <v>3</v>
      </c>
      <c r="H117" s="14" t="n">
        <f aca="false">SUM(H114:H116)</f>
        <v>4</v>
      </c>
    </row>
    <row r="118" customFormat="false" ht="19.5" hidden="false" customHeight="true" outlineLevel="0" collapsed="false">
      <c r="A118" s="3" t="s">
        <v>304</v>
      </c>
      <c r="B118" s="3"/>
      <c r="C118" s="3"/>
      <c r="D118" s="3"/>
      <c r="E118" s="3"/>
      <c r="F118" s="3"/>
      <c r="G118" s="3"/>
      <c r="H118" s="3"/>
    </row>
    <row r="119" customFormat="false" ht="19.5" hidden="false" customHeight="true" outlineLevel="0" collapsed="false">
      <c r="A119" s="4" t="s">
        <v>305</v>
      </c>
      <c r="B119" s="4"/>
      <c r="C119" s="4"/>
      <c r="D119" s="4"/>
      <c r="E119" s="4"/>
      <c r="F119" s="4"/>
      <c r="G119" s="4"/>
      <c r="H119" s="4"/>
    </row>
    <row r="120" customFormat="false" ht="23.85" hidden="false" customHeight="false" outlineLevel="0" collapsed="false">
      <c r="A120" s="9" t="s">
        <v>306</v>
      </c>
      <c r="B120" s="10" t="s">
        <v>307</v>
      </c>
      <c r="C120" s="10" t="s">
        <v>308</v>
      </c>
      <c r="D120" s="10" t="s">
        <v>309</v>
      </c>
      <c r="E120" s="10" t="s">
        <v>310</v>
      </c>
      <c r="F120" s="11" t="n">
        <v>1</v>
      </c>
      <c r="G120" s="11" t="n">
        <v>0</v>
      </c>
      <c r="H120" s="12" t="n">
        <f aca="false">F120+G120</f>
        <v>1</v>
      </c>
    </row>
    <row r="121" customFormat="false" ht="23.85" hidden="false" customHeight="false" outlineLevel="0" collapsed="false">
      <c r="A121" s="5" t="s">
        <v>311</v>
      </c>
      <c r="B121" s="6" t="s">
        <v>312</v>
      </c>
      <c r="C121" s="6" t="s">
        <v>283</v>
      </c>
      <c r="D121" s="6" t="s">
        <v>313</v>
      </c>
      <c r="E121" s="6" t="s">
        <v>314</v>
      </c>
      <c r="F121" s="7" t="n">
        <v>0</v>
      </c>
      <c r="G121" s="7" t="n">
        <v>0.5</v>
      </c>
      <c r="H121" s="8" t="n">
        <f aca="false">F121+G121</f>
        <v>0.5</v>
      </c>
    </row>
    <row r="122" customFormat="false" ht="23.85" hidden="false" customHeight="false" outlineLevel="0" collapsed="false">
      <c r="A122" s="9" t="s">
        <v>315</v>
      </c>
      <c r="B122" s="10" t="s">
        <v>316</v>
      </c>
      <c r="C122" s="10" t="s">
        <v>13</v>
      </c>
      <c r="D122" s="10" t="s">
        <v>317</v>
      </c>
      <c r="E122" s="10" t="s">
        <v>318</v>
      </c>
      <c r="F122" s="11" t="n">
        <v>0.5</v>
      </c>
      <c r="G122" s="11" t="n">
        <v>0.5</v>
      </c>
      <c r="H122" s="12" t="n">
        <f aca="false">F122+G122</f>
        <v>1</v>
      </c>
    </row>
    <row r="123" customFormat="false" ht="15" hidden="false" customHeight="false" outlineLevel="0" collapsed="false">
      <c r="A123" s="13" t="s">
        <v>319</v>
      </c>
      <c r="B123" s="13"/>
      <c r="C123" s="13"/>
      <c r="D123" s="13"/>
      <c r="E123" s="13"/>
      <c r="F123" s="14" t="n">
        <f aca="false">SUM(F120:F122)</f>
        <v>1.5</v>
      </c>
      <c r="G123" s="14" t="n">
        <f aca="false">SUM(G120:G122)</f>
        <v>1</v>
      </c>
      <c r="H123" s="14" t="n">
        <f aca="false">SUM(H120:H122)</f>
        <v>2.5</v>
      </c>
    </row>
    <row r="124" customFormat="false" ht="21.75" hidden="false" customHeight="true" outlineLevel="0" collapsed="false">
      <c r="A124" s="2" t="s">
        <v>320</v>
      </c>
      <c r="B124" s="2"/>
      <c r="C124" s="2"/>
      <c r="D124" s="2"/>
      <c r="E124" s="2"/>
      <c r="F124" s="2"/>
      <c r="G124" s="2"/>
      <c r="H124" s="2"/>
    </row>
    <row r="125" customFormat="false" ht="19.5" hidden="false" customHeight="true" outlineLevel="0" collapsed="false">
      <c r="A125" s="3" t="s">
        <v>321</v>
      </c>
      <c r="B125" s="3"/>
      <c r="C125" s="3"/>
      <c r="D125" s="3"/>
      <c r="E125" s="3"/>
      <c r="F125" s="3"/>
      <c r="G125" s="3"/>
      <c r="H125" s="3"/>
    </row>
    <row r="126" customFormat="false" ht="19.5" hidden="false" customHeight="true" outlineLevel="0" collapsed="false">
      <c r="A126" s="4" t="s">
        <v>322</v>
      </c>
      <c r="B126" s="4"/>
      <c r="C126" s="4"/>
      <c r="D126" s="4"/>
      <c r="E126" s="4"/>
      <c r="F126" s="4"/>
      <c r="G126" s="4"/>
      <c r="H126" s="4"/>
    </row>
    <row r="127" customFormat="false" ht="23.85" hidden="false" customHeight="false" outlineLevel="0" collapsed="false">
      <c r="A127" s="5" t="s">
        <v>323</v>
      </c>
      <c r="B127" s="6" t="s">
        <v>324</v>
      </c>
      <c r="C127" s="6" t="s">
        <v>325</v>
      </c>
      <c r="D127" s="6" t="s">
        <v>326</v>
      </c>
      <c r="E127" s="6" t="s">
        <v>327</v>
      </c>
      <c r="F127" s="7" t="n">
        <v>1</v>
      </c>
      <c r="G127" s="7" t="n">
        <v>2</v>
      </c>
      <c r="H127" s="8" t="n">
        <f aca="false">F127+G127</f>
        <v>3</v>
      </c>
    </row>
    <row r="128" customFormat="false" ht="15" hidden="false" customHeight="false" outlineLevel="0" collapsed="false">
      <c r="A128" s="13" t="s">
        <v>328</v>
      </c>
      <c r="B128" s="13"/>
      <c r="C128" s="13"/>
      <c r="D128" s="13"/>
      <c r="E128" s="13"/>
      <c r="F128" s="14" t="n">
        <f aca="false">SUM(F127)</f>
        <v>1</v>
      </c>
      <c r="G128" s="14" t="n">
        <f aca="false">SUM(G127)</f>
        <v>2</v>
      </c>
      <c r="H128" s="14" t="n">
        <f aca="false">SUM(H127)</f>
        <v>3</v>
      </c>
    </row>
    <row r="129" customFormat="false" ht="19.5" hidden="false" customHeight="true" outlineLevel="0" collapsed="false">
      <c r="A129" s="3" t="s">
        <v>329</v>
      </c>
      <c r="B129" s="3"/>
      <c r="C129" s="3"/>
      <c r="D129" s="3"/>
      <c r="E129" s="3"/>
      <c r="F129" s="3"/>
      <c r="G129" s="3"/>
      <c r="H129" s="3"/>
    </row>
    <row r="130" customFormat="false" ht="19.5" hidden="false" customHeight="true" outlineLevel="0" collapsed="false">
      <c r="A130" s="4" t="s">
        <v>330</v>
      </c>
      <c r="B130" s="4"/>
      <c r="C130" s="4"/>
      <c r="D130" s="4"/>
      <c r="E130" s="4"/>
      <c r="F130" s="4"/>
      <c r="G130" s="4"/>
      <c r="H130" s="4"/>
    </row>
    <row r="131" customFormat="false" ht="23.85" hidden="false" customHeight="false" outlineLevel="0" collapsed="false">
      <c r="A131" s="5" t="s">
        <v>331</v>
      </c>
      <c r="B131" s="6" t="s">
        <v>332</v>
      </c>
      <c r="C131" s="6" t="s">
        <v>18</v>
      </c>
      <c r="D131" s="6" t="s">
        <v>333</v>
      </c>
      <c r="E131" s="6" t="s">
        <v>334</v>
      </c>
      <c r="F131" s="7" t="n">
        <v>3</v>
      </c>
      <c r="G131" s="7" t="n">
        <v>3</v>
      </c>
      <c r="H131" s="8" t="n">
        <f aca="false">F131+G131</f>
        <v>6</v>
      </c>
    </row>
    <row r="132" customFormat="false" ht="15" hidden="false" customHeight="false" outlineLevel="0" collapsed="false">
      <c r="A132" s="13" t="s">
        <v>335</v>
      </c>
      <c r="B132" s="13"/>
      <c r="C132" s="13"/>
      <c r="D132" s="13"/>
      <c r="E132" s="13"/>
      <c r="F132" s="14" t="n">
        <f aca="false">SUM(F131)</f>
        <v>3</v>
      </c>
      <c r="G132" s="14" t="n">
        <f aca="false">SUM(G131)</f>
        <v>3</v>
      </c>
      <c r="H132" s="14" t="n">
        <f aca="false">SUM(H131)</f>
        <v>6</v>
      </c>
    </row>
    <row r="133" customFormat="false" ht="24" hidden="false" customHeight="true" outlineLevel="0" collapsed="false">
      <c r="A133" s="15" t="s">
        <v>336</v>
      </c>
      <c r="B133" s="15"/>
      <c r="C133" s="15"/>
      <c r="D133" s="15"/>
      <c r="E133" s="15"/>
      <c r="F133" s="16" t="n">
        <f aca="false">SUMIF(A2:A132,"",F2:F132)/2</f>
        <v>0</v>
      </c>
      <c r="G133" s="16" t="n">
        <f aca="false">SUMIF(A2:A132,"",G2:G132)/2</f>
        <v>0</v>
      </c>
      <c r="H133" s="16" t="n">
        <f aca="false">F133+G133</f>
        <v>0</v>
      </c>
    </row>
  </sheetData>
  <mergeCells count="70">
    <mergeCell ref="A2:H2"/>
    <mergeCell ref="A3:H3"/>
    <mergeCell ref="A4:H4"/>
    <mergeCell ref="A8:E8"/>
    <mergeCell ref="A9:H9"/>
    <mergeCell ref="A10:H10"/>
    <mergeCell ref="A14:E14"/>
    <mergeCell ref="A15:H15"/>
    <mergeCell ref="A18:E18"/>
    <mergeCell ref="A19:H19"/>
    <mergeCell ref="A24:E24"/>
    <mergeCell ref="A25:H25"/>
    <mergeCell ref="A29:E29"/>
    <mergeCell ref="A30:H30"/>
    <mergeCell ref="A31:H31"/>
    <mergeCell ref="A32:H32"/>
    <mergeCell ref="A38:E38"/>
    <mergeCell ref="A39:H39"/>
    <mergeCell ref="A44:E44"/>
    <mergeCell ref="A45:H45"/>
    <mergeCell ref="A49:E49"/>
    <mergeCell ref="A50:H50"/>
    <mergeCell ref="A51:H51"/>
    <mergeCell ref="A54:E54"/>
    <mergeCell ref="A55:H55"/>
    <mergeCell ref="A57:E57"/>
    <mergeCell ref="A58:H58"/>
    <mergeCell ref="A59:H59"/>
    <mergeCell ref="A64:E64"/>
    <mergeCell ref="A65:H65"/>
    <mergeCell ref="A67:E67"/>
    <mergeCell ref="A68:H68"/>
    <mergeCell ref="A72:E72"/>
    <mergeCell ref="A73:H73"/>
    <mergeCell ref="A76:E76"/>
    <mergeCell ref="A77:H77"/>
    <mergeCell ref="A78:H78"/>
    <mergeCell ref="A81:E81"/>
    <mergeCell ref="A82:H82"/>
    <mergeCell ref="A83:H83"/>
    <mergeCell ref="A87:E87"/>
    <mergeCell ref="A88:H88"/>
    <mergeCell ref="A91:E91"/>
    <mergeCell ref="A92:H92"/>
    <mergeCell ref="A95:E95"/>
    <mergeCell ref="A96:H96"/>
    <mergeCell ref="A97:H97"/>
    <mergeCell ref="A100:E100"/>
    <mergeCell ref="A101:H101"/>
    <mergeCell ref="A103:E103"/>
    <mergeCell ref="A104:H104"/>
    <mergeCell ref="A105:H105"/>
    <mergeCell ref="A106:H106"/>
    <mergeCell ref="A108:E108"/>
    <mergeCell ref="A109:H109"/>
    <mergeCell ref="A111:E111"/>
    <mergeCell ref="A112:H112"/>
    <mergeCell ref="A113:H113"/>
    <mergeCell ref="A117:E117"/>
    <mergeCell ref="A118:H118"/>
    <mergeCell ref="A119:H119"/>
    <mergeCell ref="A123:E123"/>
    <mergeCell ref="A124:H124"/>
    <mergeCell ref="A125:H125"/>
    <mergeCell ref="A126:H126"/>
    <mergeCell ref="A128:E128"/>
    <mergeCell ref="A129:H129"/>
    <mergeCell ref="A130:H130"/>
    <mergeCell ref="A132:E132"/>
    <mergeCell ref="A133:E1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7" min="6" style="0" width="11"/>
    <col collapsed="false" customWidth="true" hidden="false" outlineLevel="0" max="8" min="8" style="0" width="9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1.75" hidden="false" customHeight="true" outlineLevel="0" collapsed="false">
      <c r="A2" s="2" t="s">
        <v>337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338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4" t="s">
        <v>339</v>
      </c>
      <c r="B4" s="4"/>
      <c r="C4" s="4"/>
      <c r="D4" s="4"/>
      <c r="E4" s="4"/>
      <c r="F4" s="4"/>
      <c r="G4" s="4"/>
      <c r="H4" s="4"/>
    </row>
    <row r="5" customFormat="false" ht="23.85" hidden="false" customHeight="false" outlineLevel="0" collapsed="false">
      <c r="A5" s="5" t="s">
        <v>340</v>
      </c>
      <c r="B5" s="6" t="s">
        <v>341</v>
      </c>
      <c r="C5" s="6" t="s">
        <v>342</v>
      </c>
      <c r="D5" s="6" t="s">
        <v>343</v>
      </c>
      <c r="E5" s="6" t="s">
        <v>344</v>
      </c>
      <c r="F5" s="7" t="n">
        <v>1</v>
      </c>
      <c r="G5" s="7" t="n">
        <v>0.5</v>
      </c>
      <c r="H5" s="8" t="n">
        <f aca="false">F5+G5</f>
        <v>1.5</v>
      </c>
    </row>
    <row r="6" customFormat="false" ht="15" hidden="false" customHeight="false" outlineLevel="0" collapsed="false">
      <c r="A6" s="13" t="s">
        <v>345</v>
      </c>
      <c r="B6" s="13"/>
      <c r="C6" s="13"/>
      <c r="D6" s="13"/>
      <c r="E6" s="13"/>
      <c r="F6" s="14" t="n">
        <f aca="false">SUM(F5)</f>
        <v>1</v>
      </c>
      <c r="G6" s="14" t="n">
        <f aca="false">SUM(G5)</f>
        <v>0.5</v>
      </c>
      <c r="H6" s="14" t="n">
        <f aca="false">SUM(H5)</f>
        <v>1.5</v>
      </c>
    </row>
    <row r="7" customFormat="false" ht="19.5" hidden="false" customHeight="true" outlineLevel="0" collapsed="false">
      <c r="A7" s="3" t="s">
        <v>346</v>
      </c>
      <c r="B7" s="3"/>
      <c r="C7" s="3"/>
      <c r="D7" s="3"/>
      <c r="E7" s="3"/>
      <c r="F7" s="3"/>
      <c r="G7" s="3"/>
      <c r="H7" s="3"/>
    </row>
    <row r="8" customFormat="false" ht="19.5" hidden="false" customHeight="true" outlineLevel="0" collapsed="false">
      <c r="A8" s="4" t="s">
        <v>347</v>
      </c>
      <c r="B8" s="4"/>
      <c r="C8" s="4"/>
      <c r="D8" s="4"/>
      <c r="E8" s="4"/>
      <c r="F8" s="4"/>
      <c r="G8" s="4"/>
      <c r="H8" s="4"/>
    </row>
    <row r="9" customFormat="false" ht="23.85" hidden="false" customHeight="false" outlineLevel="0" collapsed="false">
      <c r="A9" s="5" t="s">
        <v>348</v>
      </c>
      <c r="B9" s="6" t="s">
        <v>349</v>
      </c>
      <c r="C9" s="6" t="s">
        <v>31</v>
      </c>
      <c r="D9" s="6" t="s">
        <v>350</v>
      </c>
      <c r="E9" s="6" t="s">
        <v>351</v>
      </c>
      <c r="F9" s="7" t="n">
        <v>0</v>
      </c>
      <c r="G9" s="7" t="n">
        <v>0.75</v>
      </c>
      <c r="H9" s="8" t="n">
        <f aca="false">F9+G9</f>
        <v>0.75</v>
      </c>
    </row>
    <row r="10" customFormat="false" ht="23.85" hidden="false" customHeight="false" outlineLevel="0" collapsed="false">
      <c r="A10" s="9" t="s">
        <v>352</v>
      </c>
      <c r="B10" s="10" t="s">
        <v>353</v>
      </c>
      <c r="C10" s="10" t="s">
        <v>65</v>
      </c>
      <c r="D10" s="10" t="s">
        <v>354</v>
      </c>
      <c r="E10" s="10" t="s">
        <v>355</v>
      </c>
      <c r="F10" s="11" t="n">
        <v>0</v>
      </c>
      <c r="G10" s="11" t="n">
        <v>0.75</v>
      </c>
      <c r="H10" s="12" t="n">
        <f aca="false">F10+G10</f>
        <v>0.75</v>
      </c>
    </row>
    <row r="11" customFormat="false" ht="23.85" hidden="false" customHeight="false" outlineLevel="0" collapsed="false">
      <c r="A11" s="5" t="s">
        <v>356</v>
      </c>
      <c r="B11" s="6" t="s">
        <v>357</v>
      </c>
      <c r="C11" s="6" t="s">
        <v>65</v>
      </c>
      <c r="D11" s="6" t="s">
        <v>358</v>
      </c>
      <c r="E11" s="6" t="s">
        <v>359</v>
      </c>
      <c r="F11" s="7" t="n">
        <v>0.75</v>
      </c>
      <c r="G11" s="7" t="n">
        <v>0</v>
      </c>
      <c r="H11" s="8" t="n">
        <f aca="false">F11+G11</f>
        <v>0.75</v>
      </c>
    </row>
    <row r="12" customFormat="false" ht="15" hidden="false" customHeight="false" outlineLevel="0" collapsed="false">
      <c r="A12" s="13" t="s">
        <v>360</v>
      </c>
      <c r="B12" s="13"/>
      <c r="C12" s="13"/>
      <c r="D12" s="13"/>
      <c r="E12" s="13"/>
      <c r="F12" s="14" t="n">
        <f aca="false">SUM(F9:F11)</f>
        <v>0.75</v>
      </c>
      <c r="G12" s="14" t="n">
        <f aca="false">SUM(G9:G11)</f>
        <v>1.5</v>
      </c>
      <c r="H12" s="14" t="n">
        <f aca="false">SUM(H9:H11)</f>
        <v>2.25</v>
      </c>
    </row>
    <row r="13" customFormat="false" ht="19.5" hidden="false" customHeight="true" outlineLevel="0" collapsed="false">
      <c r="A13" s="3" t="s">
        <v>361</v>
      </c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4" t="s">
        <v>362</v>
      </c>
      <c r="B14" s="4"/>
      <c r="C14" s="4"/>
      <c r="D14" s="4"/>
      <c r="E14" s="4"/>
      <c r="F14" s="4"/>
      <c r="G14" s="4"/>
      <c r="H14" s="4"/>
    </row>
    <row r="15" customFormat="false" ht="23.85" hidden="false" customHeight="false" outlineLevel="0" collapsed="false">
      <c r="A15" s="5" t="s">
        <v>363</v>
      </c>
      <c r="B15" s="6" t="s">
        <v>364</v>
      </c>
      <c r="C15" s="6" t="s">
        <v>119</v>
      </c>
      <c r="D15" s="6" t="s">
        <v>365</v>
      </c>
      <c r="E15" s="6" t="s">
        <v>366</v>
      </c>
      <c r="F15" s="7" t="n">
        <v>1</v>
      </c>
      <c r="G15" s="7" t="n">
        <v>0.5</v>
      </c>
      <c r="H15" s="8" t="n">
        <f aca="false">F15+G15</f>
        <v>1.5</v>
      </c>
    </row>
    <row r="16" customFormat="false" ht="23.85" hidden="false" customHeight="false" outlineLevel="0" collapsed="false">
      <c r="A16" s="9" t="s">
        <v>367</v>
      </c>
      <c r="B16" s="10" t="s">
        <v>368</v>
      </c>
      <c r="C16" s="10" t="s">
        <v>109</v>
      </c>
      <c r="D16" s="10" t="s">
        <v>369</v>
      </c>
      <c r="E16" s="10" t="s">
        <v>370</v>
      </c>
      <c r="F16" s="11" t="n">
        <v>0.75</v>
      </c>
      <c r="G16" s="11" t="n">
        <v>0.25</v>
      </c>
      <c r="H16" s="12" t="n">
        <f aca="false">F16+G16</f>
        <v>1</v>
      </c>
    </row>
    <row r="17" customFormat="false" ht="15" hidden="false" customHeight="false" outlineLevel="0" collapsed="false">
      <c r="A17" s="13" t="s">
        <v>371</v>
      </c>
      <c r="B17" s="13"/>
      <c r="C17" s="13"/>
      <c r="D17" s="13"/>
      <c r="E17" s="13"/>
      <c r="F17" s="14" t="n">
        <f aca="false">SUM(F15:F16)</f>
        <v>1.75</v>
      </c>
      <c r="G17" s="14" t="n">
        <f aca="false">SUM(G15:G16)</f>
        <v>0.75</v>
      </c>
      <c r="H17" s="14" t="n">
        <f aca="false">SUM(H15:H16)</f>
        <v>2.5</v>
      </c>
    </row>
    <row r="18" customFormat="false" ht="19.5" hidden="false" customHeight="true" outlineLevel="0" collapsed="false">
      <c r="A18" s="3" t="s">
        <v>372</v>
      </c>
      <c r="B18" s="3"/>
      <c r="C18" s="3"/>
      <c r="D18" s="3"/>
      <c r="E18" s="3"/>
      <c r="F18" s="3"/>
      <c r="G18" s="3"/>
      <c r="H18" s="3"/>
    </row>
    <row r="19" customFormat="false" ht="19.5" hidden="false" customHeight="true" outlineLevel="0" collapsed="false">
      <c r="A19" s="4" t="s">
        <v>373</v>
      </c>
      <c r="B19" s="4"/>
      <c r="C19" s="4"/>
      <c r="D19" s="4"/>
      <c r="E19" s="4"/>
      <c r="F19" s="4"/>
      <c r="G19" s="4"/>
      <c r="H19" s="4"/>
    </row>
    <row r="20" customFormat="false" ht="23.85" hidden="false" customHeight="false" outlineLevel="0" collapsed="false">
      <c r="A20" s="9" t="s">
        <v>374</v>
      </c>
      <c r="B20" s="10" t="s">
        <v>375</v>
      </c>
      <c r="C20" s="10" t="s">
        <v>109</v>
      </c>
      <c r="D20" s="10" t="s">
        <v>376</v>
      </c>
      <c r="E20" s="10" t="s">
        <v>377</v>
      </c>
      <c r="F20" s="11" t="n">
        <v>1</v>
      </c>
      <c r="G20" s="11" t="n">
        <v>0.5</v>
      </c>
      <c r="H20" s="12" t="n">
        <f aca="false">F20+G20</f>
        <v>1.5</v>
      </c>
    </row>
    <row r="21" customFormat="false" ht="15" hidden="false" customHeight="false" outlineLevel="0" collapsed="false">
      <c r="A21" s="13" t="s">
        <v>378</v>
      </c>
      <c r="B21" s="13"/>
      <c r="C21" s="13"/>
      <c r="D21" s="13"/>
      <c r="E21" s="13"/>
      <c r="F21" s="14" t="n">
        <f aca="false">SUM(F20)</f>
        <v>1</v>
      </c>
      <c r="G21" s="14" t="n">
        <f aca="false">SUM(G20)</f>
        <v>0.5</v>
      </c>
      <c r="H21" s="14" t="n">
        <f aca="false">SUM(H20)</f>
        <v>1.5</v>
      </c>
    </row>
    <row r="22" customFormat="false" ht="21.75" hidden="false" customHeight="true" outlineLevel="0" collapsed="false">
      <c r="A22" s="2" t="s">
        <v>379</v>
      </c>
      <c r="B22" s="2"/>
      <c r="C22" s="2"/>
      <c r="D22" s="2"/>
      <c r="E22" s="2"/>
      <c r="F22" s="2"/>
      <c r="G22" s="2"/>
      <c r="H22" s="2"/>
    </row>
    <row r="23" customFormat="false" ht="19.5" hidden="false" customHeight="true" outlineLevel="0" collapsed="false">
      <c r="A23" s="4" t="s">
        <v>380</v>
      </c>
      <c r="B23" s="4"/>
      <c r="C23" s="4"/>
      <c r="D23" s="4"/>
      <c r="E23" s="4"/>
      <c r="F23" s="4"/>
      <c r="G23" s="4"/>
      <c r="H23" s="4"/>
    </row>
    <row r="24" customFormat="false" ht="35.05" hidden="false" customHeight="false" outlineLevel="0" collapsed="false">
      <c r="A24" s="9" t="s">
        <v>381</v>
      </c>
      <c r="B24" s="10" t="s">
        <v>382</v>
      </c>
      <c r="C24" s="10" t="s">
        <v>31</v>
      </c>
      <c r="D24" s="10" t="s">
        <v>383</v>
      </c>
      <c r="E24" s="10" t="s">
        <v>384</v>
      </c>
      <c r="F24" s="11" t="n">
        <v>0</v>
      </c>
      <c r="G24" s="11" t="n">
        <v>1</v>
      </c>
      <c r="H24" s="12" t="n">
        <f aca="false">F24+G24</f>
        <v>1</v>
      </c>
    </row>
    <row r="25" customFormat="false" ht="15" hidden="false" customHeight="false" outlineLevel="0" collapsed="false">
      <c r="A25" s="13" t="s">
        <v>385</v>
      </c>
      <c r="B25" s="13"/>
      <c r="C25" s="13"/>
      <c r="D25" s="13"/>
      <c r="E25" s="13"/>
      <c r="F25" s="14" t="n">
        <f aca="false">SUM(F24)</f>
        <v>0</v>
      </c>
      <c r="G25" s="14" t="n">
        <f aca="false">SUM(G24)</f>
        <v>1</v>
      </c>
      <c r="H25" s="14" t="n">
        <f aca="false">SUM(H24)</f>
        <v>1</v>
      </c>
    </row>
    <row r="26" customFormat="false" ht="19.5" hidden="false" customHeight="true" outlineLevel="0" collapsed="false">
      <c r="A26" s="3" t="s">
        <v>386</v>
      </c>
      <c r="B26" s="3"/>
      <c r="C26" s="3"/>
      <c r="D26" s="3"/>
      <c r="E26" s="3"/>
      <c r="F26" s="3"/>
      <c r="G26" s="3"/>
      <c r="H26" s="3"/>
    </row>
    <row r="27" customFormat="false" ht="19.5" hidden="false" customHeight="true" outlineLevel="0" collapsed="false">
      <c r="A27" s="4" t="s">
        <v>387</v>
      </c>
      <c r="B27" s="4"/>
      <c r="C27" s="4"/>
      <c r="D27" s="4"/>
      <c r="E27" s="4"/>
      <c r="F27" s="4"/>
      <c r="G27" s="4"/>
      <c r="H27" s="4"/>
    </row>
    <row r="28" customFormat="false" ht="35.05" hidden="false" customHeight="false" outlineLevel="0" collapsed="false">
      <c r="A28" s="9" t="s">
        <v>388</v>
      </c>
      <c r="B28" s="10" t="s">
        <v>389</v>
      </c>
      <c r="C28" s="10" t="s">
        <v>109</v>
      </c>
      <c r="D28" s="10" t="s">
        <v>390</v>
      </c>
      <c r="E28" s="10" t="s">
        <v>391</v>
      </c>
      <c r="F28" s="11" t="n">
        <v>0.75</v>
      </c>
      <c r="G28" s="11" t="n">
        <v>0.75</v>
      </c>
      <c r="H28" s="12" t="n">
        <f aca="false">F28+G28</f>
        <v>1.5</v>
      </c>
    </row>
    <row r="29" customFormat="false" ht="35.05" hidden="false" customHeight="false" outlineLevel="0" collapsed="false">
      <c r="A29" s="5" t="s">
        <v>392</v>
      </c>
      <c r="B29" s="6" t="s">
        <v>393</v>
      </c>
      <c r="C29" s="6" t="s">
        <v>109</v>
      </c>
      <c r="D29" s="6" t="s">
        <v>394</v>
      </c>
      <c r="E29" s="6" t="s">
        <v>395</v>
      </c>
      <c r="F29" s="7" t="n">
        <v>1</v>
      </c>
      <c r="G29" s="7" t="n">
        <v>0.75</v>
      </c>
      <c r="H29" s="8" t="n">
        <f aca="false">F29+G29</f>
        <v>1.75</v>
      </c>
    </row>
    <row r="30" customFormat="false" ht="15" hidden="false" customHeight="false" outlineLevel="0" collapsed="false">
      <c r="A30" s="13" t="s">
        <v>396</v>
      </c>
      <c r="B30" s="13"/>
      <c r="C30" s="13"/>
      <c r="D30" s="13"/>
      <c r="E30" s="13"/>
      <c r="F30" s="14" t="n">
        <f aca="false">SUM(F28:F29)</f>
        <v>1.75</v>
      </c>
      <c r="G30" s="14" t="n">
        <f aca="false">SUM(G28:G29)</f>
        <v>1.5</v>
      </c>
      <c r="H30" s="14" t="n">
        <f aca="false">SUM(H28:H29)</f>
        <v>3.25</v>
      </c>
    </row>
    <row r="31" customFormat="false" ht="19.5" hidden="false" customHeight="true" outlineLevel="0" collapsed="false">
      <c r="A31" s="3" t="s">
        <v>397</v>
      </c>
      <c r="B31" s="3"/>
      <c r="C31" s="3"/>
      <c r="D31" s="3"/>
      <c r="E31" s="3"/>
      <c r="F31" s="3"/>
      <c r="G31" s="3"/>
      <c r="H31" s="3"/>
    </row>
    <row r="32" customFormat="false" ht="19.5" hidden="false" customHeight="true" outlineLevel="0" collapsed="false">
      <c r="A32" s="4" t="s">
        <v>398</v>
      </c>
      <c r="B32" s="4"/>
      <c r="C32" s="4"/>
      <c r="D32" s="4"/>
      <c r="E32" s="4"/>
      <c r="F32" s="4"/>
      <c r="G32" s="4"/>
      <c r="H32" s="4"/>
    </row>
    <row r="33" customFormat="false" ht="35.05" hidden="false" customHeight="false" outlineLevel="0" collapsed="false">
      <c r="A33" s="5" t="s">
        <v>399</v>
      </c>
      <c r="B33" s="6" t="s">
        <v>400</v>
      </c>
      <c r="C33" s="6" t="s">
        <v>31</v>
      </c>
      <c r="D33" s="6" t="s">
        <v>401</v>
      </c>
      <c r="E33" s="6" t="s">
        <v>402</v>
      </c>
      <c r="F33" s="7" t="n">
        <v>0</v>
      </c>
      <c r="G33" s="7" t="n">
        <v>1</v>
      </c>
      <c r="H33" s="8" t="n">
        <f aca="false">F33+G33</f>
        <v>1</v>
      </c>
    </row>
    <row r="34" customFormat="false" ht="15" hidden="false" customHeight="false" outlineLevel="0" collapsed="false">
      <c r="A34" s="13" t="s">
        <v>403</v>
      </c>
      <c r="B34" s="13"/>
      <c r="C34" s="13"/>
      <c r="D34" s="13"/>
      <c r="E34" s="13"/>
      <c r="F34" s="14" t="n">
        <f aca="false">SUM(F33)</f>
        <v>0</v>
      </c>
      <c r="G34" s="14" t="n">
        <f aca="false">SUM(G33)</f>
        <v>1</v>
      </c>
      <c r="H34" s="14" t="n">
        <f aca="false">SUM(H33)</f>
        <v>1</v>
      </c>
    </row>
    <row r="35" customFormat="false" ht="19.5" hidden="false" customHeight="true" outlineLevel="0" collapsed="false">
      <c r="A35" s="4" t="s">
        <v>404</v>
      </c>
      <c r="B35" s="4"/>
      <c r="C35" s="4"/>
      <c r="D35" s="4"/>
      <c r="E35" s="4"/>
      <c r="F35" s="4"/>
      <c r="G35" s="4"/>
      <c r="H35" s="4"/>
    </row>
    <row r="36" customFormat="false" ht="23.85" hidden="false" customHeight="false" outlineLevel="0" collapsed="false">
      <c r="A36" s="9" t="s">
        <v>405</v>
      </c>
      <c r="B36" s="10" t="s">
        <v>406</v>
      </c>
      <c r="C36" s="10" t="s">
        <v>407</v>
      </c>
      <c r="D36" s="10" t="s">
        <v>408</v>
      </c>
      <c r="E36" s="10" t="s">
        <v>409</v>
      </c>
      <c r="F36" s="11" t="n">
        <v>0.75</v>
      </c>
      <c r="G36" s="11" t="n">
        <v>0.25</v>
      </c>
      <c r="H36" s="12" t="n">
        <f aca="false">F36+G36</f>
        <v>1</v>
      </c>
    </row>
    <row r="37" customFormat="false" ht="23.85" hidden="false" customHeight="false" outlineLevel="0" collapsed="false">
      <c r="A37" s="5" t="s">
        <v>410</v>
      </c>
      <c r="B37" s="6" t="s">
        <v>411</v>
      </c>
      <c r="C37" s="6" t="s">
        <v>119</v>
      </c>
      <c r="D37" s="6" t="s">
        <v>412</v>
      </c>
      <c r="E37" s="6" t="s">
        <v>413</v>
      </c>
      <c r="F37" s="7" t="n">
        <v>0.5</v>
      </c>
      <c r="G37" s="7" t="n">
        <v>0</v>
      </c>
      <c r="H37" s="8" t="n">
        <f aca="false">F37+G37</f>
        <v>0.5</v>
      </c>
    </row>
    <row r="38" customFormat="false" ht="23.85" hidden="false" customHeight="false" outlineLevel="0" collapsed="false">
      <c r="A38" s="9" t="s">
        <v>414</v>
      </c>
      <c r="B38" s="10" t="s">
        <v>415</v>
      </c>
      <c r="C38" s="10" t="s">
        <v>119</v>
      </c>
      <c r="D38" s="10" t="s">
        <v>416</v>
      </c>
      <c r="E38" s="10" t="s">
        <v>417</v>
      </c>
      <c r="F38" s="11" t="n">
        <v>0.5</v>
      </c>
      <c r="G38" s="11" t="n">
        <v>0</v>
      </c>
      <c r="H38" s="12" t="n">
        <f aca="false">F38+G38</f>
        <v>0.5</v>
      </c>
    </row>
    <row r="39" customFormat="false" ht="15" hidden="false" customHeight="false" outlineLevel="0" collapsed="false">
      <c r="A39" s="13" t="s">
        <v>418</v>
      </c>
      <c r="B39" s="13"/>
      <c r="C39" s="13"/>
      <c r="D39" s="13"/>
      <c r="E39" s="13"/>
      <c r="F39" s="14" t="n">
        <f aca="false">SUM(F36:F38)</f>
        <v>1.75</v>
      </c>
      <c r="G39" s="14" t="n">
        <f aca="false">SUM(G36:G38)</f>
        <v>0.25</v>
      </c>
      <c r="H39" s="14" t="n">
        <f aca="false">SUM(H36:H38)</f>
        <v>2</v>
      </c>
    </row>
    <row r="40" customFormat="false" ht="19.5" hidden="false" customHeight="true" outlineLevel="0" collapsed="false">
      <c r="A40" s="4" t="s">
        <v>419</v>
      </c>
      <c r="B40" s="4"/>
      <c r="C40" s="4"/>
      <c r="D40" s="4"/>
      <c r="E40" s="4"/>
      <c r="F40" s="4"/>
      <c r="G40" s="4"/>
      <c r="H40" s="4"/>
    </row>
    <row r="41" customFormat="false" ht="23.85" hidden="false" customHeight="false" outlineLevel="0" collapsed="false">
      <c r="A41" s="5" t="s">
        <v>420</v>
      </c>
      <c r="B41" s="6" t="s">
        <v>421</v>
      </c>
      <c r="C41" s="6" t="s">
        <v>65</v>
      </c>
      <c r="D41" s="6" t="s">
        <v>422</v>
      </c>
      <c r="E41" s="6" t="s">
        <v>423</v>
      </c>
      <c r="F41" s="7" t="n">
        <v>0.75</v>
      </c>
      <c r="G41" s="7" t="n">
        <v>0.25</v>
      </c>
      <c r="H41" s="8" t="n">
        <f aca="false">F41+G41</f>
        <v>1</v>
      </c>
    </row>
    <row r="42" customFormat="false" ht="15" hidden="false" customHeight="false" outlineLevel="0" collapsed="false">
      <c r="A42" s="13" t="s">
        <v>424</v>
      </c>
      <c r="B42" s="13"/>
      <c r="C42" s="13"/>
      <c r="D42" s="13"/>
      <c r="E42" s="13"/>
      <c r="F42" s="14" t="n">
        <f aca="false">SUM(F41)</f>
        <v>0.75</v>
      </c>
      <c r="G42" s="14" t="n">
        <f aca="false">SUM(G41)</f>
        <v>0.25</v>
      </c>
      <c r="H42" s="14" t="n">
        <f aca="false">SUM(H41)</f>
        <v>1</v>
      </c>
    </row>
    <row r="43" customFormat="false" ht="19.5" hidden="false" customHeight="true" outlineLevel="0" collapsed="false">
      <c r="A43" s="3" t="s">
        <v>425</v>
      </c>
      <c r="B43" s="3"/>
      <c r="C43" s="3"/>
      <c r="D43" s="3"/>
      <c r="E43" s="3"/>
      <c r="F43" s="3"/>
      <c r="G43" s="3"/>
      <c r="H43" s="3"/>
    </row>
    <row r="44" customFormat="false" ht="19.5" hidden="false" customHeight="true" outlineLevel="0" collapsed="false">
      <c r="A44" s="4" t="s">
        <v>426</v>
      </c>
      <c r="B44" s="4"/>
      <c r="C44" s="4"/>
      <c r="D44" s="4"/>
      <c r="E44" s="4"/>
      <c r="F44" s="4"/>
      <c r="G44" s="4"/>
      <c r="H44" s="4"/>
    </row>
    <row r="45" customFormat="false" ht="23.85" hidden="false" customHeight="false" outlineLevel="0" collapsed="false">
      <c r="A45" s="5" t="s">
        <v>427</v>
      </c>
      <c r="B45" s="6" t="s">
        <v>428</v>
      </c>
      <c r="C45" s="6" t="s">
        <v>65</v>
      </c>
      <c r="D45" s="6" t="s">
        <v>429</v>
      </c>
      <c r="E45" s="6" t="s">
        <v>430</v>
      </c>
      <c r="F45" s="7" t="n">
        <v>1.25</v>
      </c>
      <c r="G45" s="7" t="n">
        <v>0.25</v>
      </c>
      <c r="H45" s="8" t="n">
        <f aca="false">F45+G45</f>
        <v>1.5</v>
      </c>
    </row>
    <row r="46" customFormat="false" ht="15" hidden="false" customHeight="false" outlineLevel="0" collapsed="false">
      <c r="A46" s="13" t="s">
        <v>431</v>
      </c>
      <c r="B46" s="13"/>
      <c r="C46" s="13"/>
      <c r="D46" s="13"/>
      <c r="E46" s="13"/>
      <c r="F46" s="14" t="n">
        <f aca="false">SUM(F45)</f>
        <v>1.25</v>
      </c>
      <c r="G46" s="14" t="n">
        <f aca="false">SUM(G45)</f>
        <v>0.25</v>
      </c>
      <c r="H46" s="14" t="n">
        <f aca="false">SUM(H45)</f>
        <v>1.5</v>
      </c>
    </row>
    <row r="47" customFormat="false" ht="21.75" hidden="false" customHeight="true" outlineLevel="0" collapsed="false">
      <c r="A47" s="2" t="s">
        <v>432</v>
      </c>
      <c r="B47" s="2"/>
      <c r="C47" s="2"/>
      <c r="D47" s="2"/>
      <c r="E47" s="2"/>
      <c r="F47" s="2"/>
      <c r="G47" s="2"/>
      <c r="H47" s="2"/>
    </row>
    <row r="48" customFormat="false" ht="19.5" hidden="false" customHeight="true" outlineLevel="0" collapsed="false">
      <c r="A48" s="3" t="s">
        <v>433</v>
      </c>
      <c r="B48" s="3"/>
      <c r="C48" s="3"/>
      <c r="D48" s="3"/>
      <c r="E48" s="3"/>
      <c r="F48" s="3"/>
      <c r="G48" s="3"/>
      <c r="H48" s="3"/>
    </row>
    <row r="49" customFormat="false" ht="19.5" hidden="false" customHeight="true" outlineLevel="0" collapsed="false">
      <c r="A49" s="4" t="s">
        <v>434</v>
      </c>
      <c r="B49" s="4"/>
      <c r="C49" s="4"/>
      <c r="D49" s="4"/>
      <c r="E49" s="4"/>
      <c r="F49" s="4"/>
      <c r="G49" s="4"/>
      <c r="H49" s="4"/>
    </row>
    <row r="50" customFormat="false" ht="23.85" hidden="false" customHeight="false" outlineLevel="0" collapsed="false">
      <c r="A50" s="9" t="s">
        <v>435</v>
      </c>
      <c r="B50" s="10" t="s">
        <v>436</v>
      </c>
      <c r="C50" s="10" t="s">
        <v>31</v>
      </c>
      <c r="D50" s="10" t="s">
        <v>437</v>
      </c>
      <c r="E50" s="10" t="s">
        <v>438</v>
      </c>
      <c r="F50" s="11" t="n">
        <v>0</v>
      </c>
      <c r="G50" s="11" t="n">
        <v>0.5</v>
      </c>
      <c r="H50" s="12" t="n">
        <f aca="false">F50+G50</f>
        <v>0.5</v>
      </c>
    </row>
    <row r="51" customFormat="false" ht="23.85" hidden="false" customHeight="false" outlineLevel="0" collapsed="false">
      <c r="A51" s="5" t="s">
        <v>439</v>
      </c>
      <c r="B51" s="6" t="s">
        <v>440</v>
      </c>
      <c r="C51" s="6" t="s">
        <v>119</v>
      </c>
      <c r="D51" s="6" t="s">
        <v>441</v>
      </c>
      <c r="E51" s="6" t="s">
        <v>442</v>
      </c>
      <c r="F51" s="7" t="n">
        <v>0.5</v>
      </c>
      <c r="G51" s="7" t="n">
        <v>0</v>
      </c>
      <c r="H51" s="8" t="n">
        <f aca="false">F51+G51</f>
        <v>0.5</v>
      </c>
    </row>
    <row r="52" customFormat="false" ht="15" hidden="false" customHeight="false" outlineLevel="0" collapsed="false">
      <c r="A52" s="13" t="s">
        <v>443</v>
      </c>
      <c r="B52" s="13"/>
      <c r="C52" s="13"/>
      <c r="D52" s="13"/>
      <c r="E52" s="13"/>
      <c r="F52" s="14" t="n">
        <f aca="false">SUM(F50:F51)</f>
        <v>0.5</v>
      </c>
      <c r="G52" s="14" t="n">
        <f aca="false">SUM(G50:G51)</f>
        <v>0.5</v>
      </c>
      <c r="H52" s="14" t="n">
        <f aca="false">SUM(H50:H51)</f>
        <v>1</v>
      </c>
    </row>
    <row r="53" customFormat="false" ht="19.5" hidden="false" customHeight="true" outlineLevel="0" collapsed="false">
      <c r="A53" s="3" t="s">
        <v>444</v>
      </c>
      <c r="B53" s="3"/>
      <c r="C53" s="3"/>
      <c r="D53" s="3"/>
      <c r="E53" s="3"/>
      <c r="F53" s="3"/>
      <c r="G53" s="3"/>
      <c r="H53" s="3"/>
    </row>
    <row r="54" customFormat="false" ht="19.5" hidden="false" customHeight="true" outlineLevel="0" collapsed="false">
      <c r="A54" s="4" t="s">
        <v>445</v>
      </c>
      <c r="B54" s="4"/>
      <c r="C54" s="4"/>
      <c r="D54" s="4"/>
      <c r="E54" s="4"/>
      <c r="F54" s="4"/>
      <c r="G54" s="4"/>
      <c r="H54" s="4"/>
    </row>
    <row r="55" customFormat="false" ht="23.85" hidden="false" customHeight="false" outlineLevel="0" collapsed="false">
      <c r="A55" s="5" t="s">
        <v>446</v>
      </c>
      <c r="B55" s="6" t="s">
        <v>447</v>
      </c>
      <c r="C55" s="6" t="s">
        <v>291</v>
      </c>
      <c r="D55" s="6" t="s">
        <v>448</v>
      </c>
      <c r="E55" s="6" t="s">
        <v>449</v>
      </c>
      <c r="F55" s="7" t="n">
        <v>0.5</v>
      </c>
      <c r="G55" s="7" t="n">
        <v>0.5</v>
      </c>
      <c r="H55" s="8" t="n">
        <f aca="false">F55+G55</f>
        <v>1</v>
      </c>
    </row>
    <row r="56" customFormat="false" ht="23.85" hidden="false" customHeight="false" outlineLevel="0" collapsed="false">
      <c r="A56" s="9" t="s">
        <v>450</v>
      </c>
      <c r="B56" s="10" t="s">
        <v>451</v>
      </c>
      <c r="C56" s="10" t="s">
        <v>300</v>
      </c>
      <c r="D56" s="10" t="s">
        <v>452</v>
      </c>
      <c r="E56" s="10" t="s">
        <v>453</v>
      </c>
      <c r="F56" s="11" t="n">
        <v>0.5</v>
      </c>
      <c r="G56" s="11" t="n">
        <v>1</v>
      </c>
      <c r="H56" s="12" t="n">
        <f aca="false">F56+G56</f>
        <v>1.5</v>
      </c>
    </row>
    <row r="57" customFormat="false" ht="15" hidden="false" customHeight="false" outlineLevel="0" collapsed="false">
      <c r="A57" s="13" t="s">
        <v>454</v>
      </c>
      <c r="B57" s="13"/>
      <c r="C57" s="13"/>
      <c r="D57" s="13"/>
      <c r="E57" s="13"/>
      <c r="F57" s="14" t="n">
        <f aca="false">SUM(F55:F56)</f>
        <v>1</v>
      </c>
      <c r="G57" s="14" t="n">
        <f aca="false">SUM(G55:G56)</f>
        <v>1.5</v>
      </c>
      <c r="H57" s="14" t="n">
        <f aca="false">SUM(H55:H56)</f>
        <v>2.5</v>
      </c>
    </row>
    <row r="58" customFormat="false" ht="19.5" hidden="false" customHeight="true" outlineLevel="0" collapsed="false">
      <c r="A58" s="3" t="s">
        <v>455</v>
      </c>
      <c r="B58" s="3"/>
      <c r="C58" s="3"/>
      <c r="D58" s="3"/>
      <c r="E58" s="3"/>
      <c r="F58" s="3"/>
      <c r="G58" s="3"/>
      <c r="H58" s="3"/>
    </row>
    <row r="59" customFormat="false" ht="19.5" hidden="false" customHeight="true" outlineLevel="0" collapsed="false">
      <c r="A59" s="4" t="s">
        <v>456</v>
      </c>
      <c r="B59" s="4"/>
      <c r="C59" s="4"/>
      <c r="D59" s="4"/>
      <c r="E59" s="4"/>
      <c r="F59" s="4"/>
      <c r="G59" s="4"/>
      <c r="H59" s="4"/>
    </row>
    <row r="60" customFormat="false" ht="23.85" hidden="false" customHeight="false" outlineLevel="0" collapsed="false">
      <c r="A60" s="9" t="s">
        <v>457</v>
      </c>
      <c r="B60" s="10" t="s">
        <v>458</v>
      </c>
      <c r="C60" s="10" t="s">
        <v>18</v>
      </c>
      <c r="D60" s="10" t="s">
        <v>459</v>
      </c>
      <c r="E60" s="10" t="s">
        <v>460</v>
      </c>
      <c r="F60" s="11" t="n">
        <v>0.75</v>
      </c>
      <c r="G60" s="11" t="n">
        <v>0.75</v>
      </c>
      <c r="H60" s="12" t="n">
        <f aca="false">F60+G60</f>
        <v>1.5</v>
      </c>
    </row>
    <row r="61" customFormat="false" ht="15" hidden="false" customHeight="false" outlineLevel="0" collapsed="false">
      <c r="A61" s="13" t="s">
        <v>461</v>
      </c>
      <c r="B61" s="13"/>
      <c r="C61" s="13"/>
      <c r="D61" s="13"/>
      <c r="E61" s="13"/>
      <c r="F61" s="14" t="n">
        <f aca="false">SUM(F60)</f>
        <v>0.75</v>
      </c>
      <c r="G61" s="14" t="n">
        <f aca="false">SUM(G60)</f>
        <v>0.75</v>
      </c>
      <c r="H61" s="14" t="n">
        <f aca="false">SUM(H60)</f>
        <v>1.5</v>
      </c>
    </row>
    <row r="62" customFormat="false" ht="24" hidden="false" customHeight="true" outlineLevel="0" collapsed="false">
      <c r="A62" s="15" t="s">
        <v>462</v>
      </c>
      <c r="B62" s="15"/>
      <c r="C62" s="15"/>
      <c r="D62" s="15"/>
      <c r="E62" s="15"/>
      <c r="F62" s="16" t="n">
        <f aca="false">SUMIF(A2:A61,"",F2:F61)/2</f>
        <v>0</v>
      </c>
      <c r="G62" s="16" t="n">
        <f aca="false">SUMIF(A2:A61,"",G2:G61)/2</f>
        <v>0</v>
      </c>
      <c r="H62" s="16" t="n">
        <f aca="false">F62+G62</f>
        <v>0</v>
      </c>
    </row>
  </sheetData>
  <mergeCells count="40">
    <mergeCell ref="A2:H2"/>
    <mergeCell ref="A3:H3"/>
    <mergeCell ref="A4:H4"/>
    <mergeCell ref="A6:E6"/>
    <mergeCell ref="A7:H7"/>
    <mergeCell ref="A8:H8"/>
    <mergeCell ref="A12:E12"/>
    <mergeCell ref="A13:H13"/>
    <mergeCell ref="A14:H14"/>
    <mergeCell ref="A17:E17"/>
    <mergeCell ref="A18:H18"/>
    <mergeCell ref="A19:H19"/>
    <mergeCell ref="A21:E21"/>
    <mergeCell ref="A22:H22"/>
    <mergeCell ref="A23:H23"/>
    <mergeCell ref="A25:E25"/>
    <mergeCell ref="A26:H26"/>
    <mergeCell ref="A27:H27"/>
    <mergeCell ref="A30:E30"/>
    <mergeCell ref="A31:H31"/>
    <mergeCell ref="A32:H32"/>
    <mergeCell ref="A34:E34"/>
    <mergeCell ref="A35:H35"/>
    <mergeCell ref="A39:E39"/>
    <mergeCell ref="A40:H40"/>
    <mergeCell ref="A42:E42"/>
    <mergeCell ref="A43:H43"/>
    <mergeCell ref="A44:H44"/>
    <mergeCell ref="A46:E46"/>
    <mergeCell ref="A47:H47"/>
    <mergeCell ref="A48:H48"/>
    <mergeCell ref="A49:H49"/>
    <mergeCell ref="A52:E52"/>
    <mergeCell ref="A53:H53"/>
    <mergeCell ref="A54:H54"/>
    <mergeCell ref="A57:E57"/>
    <mergeCell ref="A58:H58"/>
    <mergeCell ref="A59:H59"/>
    <mergeCell ref="A61:E61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</cols>
  <sheetData>
    <row r="2" customFormat="false" ht="27.75" hidden="false" customHeight="true" outlineLevel="0" collapsed="false">
      <c r="B2" s="17" t="s">
        <v>463</v>
      </c>
      <c r="C2" s="17"/>
      <c r="D2" s="17"/>
      <c r="E2" s="17"/>
    </row>
    <row r="3" customFormat="false" ht="15" hidden="false" customHeight="false" outlineLevel="0" collapsed="false">
      <c r="B3" s="18" t="s">
        <v>464</v>
      </c>
      <c r="C3" s="18"/>
      <c r="D3" s="18"/>
      <c r="E3" s="18"/>
    </row>
    <row r="5" customFormat="false" ht="21.75" hidden="false" customHeight="true" outlineLevel="0" collapsed="false">
      <c r="B5" s="19" t="s">
        <v>465</v>
      </c>
      <c r="C5" s="19"/>
      <c r="D5" s="19"/>
      <c r="E5" s="19"/>
    </row>
    <row r="6" customFormat="false" ht="15" hidden="false" customHeight="false" outlineLevel="0" collapsed="false">
      <c r="B6" s="20" t="s">
        <v>466</v>
      </c>
      <c r="C6" s="21" t="n">
        <v>0</v>
      </c>
      <c r="D6" s="21"/>
      <c r="E6" s="22" t="s">
        <v>467</v>
      </c>
    </row>
    <row r="8" customFormat="false" ht="21.75" hidden="false" customHeight="true" outlineLevel="0" collapsed="false">
      <c r="B8" s="19" t="s">
        <v>468</v>
      </c>
      <c r="C8" s="19"/>
      <c r="D8" s="19"/>
      <c r="E8" s="19"/>
    </row>
    <row r="9" customFormat="false" ht="24" hidden="false" customHeight="true" outlineLevel="0" collapsed="false">
      <c r="B9" s="1" t="s">
        <v>469</v>
      </c>
      <c r="C9" s="1" t="s">
        <v>470</v>
      </c>
      <c r="D9" s="1" t="s">
        <v>471</v>
      </c>
      <c r="E9" s="1" t="s">
        <v>472</v>
      </c>
    </row>
    <row r="10" customFormat="false" ht="15" hidden="false" customHeight="false" outlineLevel="0" collapsed="false">
      <c r="B10" s="23" t="s">
        <v>473</v>
      </c>
      <c r="C10" s="24" t="n">
        <v>50</v>
      </c>
      <c r="D10" s="25" t="s">
        <v>474</v>
      </c>
      <c r="E10" s="26" t="n">
        <f aca="false">C10*$C$6</f>
        <v>0</v>
      </c>
    </row>
    <row r="11" customFormat="false" ht="15" hidden="false" customHeight="false" outlineLevel="0" collapsed="false">
      <c r="B11" s="27" t="s">
        <v>475</v>
      </c>
      <c r="C11" s="24" t="n">
        <v>21</v>
      </c>
      <c r="D11" s="25" t="s">
        <v>476</v>
      </c>
      <c r="E11" s="26" t="n">
        <f aca="false">C11*$C$6</f>
        <v>0</v>
      </c>
    </row>
    <row r="12" customFormat="false" ht="15" hidden="false" customHeight="false" outlineLevel="0" collapsed="false">
      <c r="B12" s="28" t="s">
        <v>477</v>
      </c>
      <c r="C12" s="29" t="n">
        <f aca="false">C10+C11</f>
        <v>71</v>
      </c>
      <c r="D12" s="30" t="s">
        <v>478</v>
      </c>
      <c r="E12" s="31" t="n">
        <f aca="false">C12*$C$6</f>
        <v>0</v>
      </c>
    </row>
    <row r="14" customFormat="false" ht="21.75" hidden="false" customHeight="true" outlineLevel="0" collapsed="false">
      <c r="B14" s="19" t="s">
        <v>479</v>
      </c>
      <c r="C14" s="19"/>
      <c r="D14" s="19"/>
      <c r="E14" s="19"/>
    </row>
    <row r="15" customFormat="false" ht="24" hidden="false" customHeight="true" outlineLevel="0" collapsed="false">
      <c r="B15" s="1" t="s">
        <v>480</v>
      </c>
      <c r="C15" s="1" t="s">
        <v>471</v>
      </c>
      <c r="D15" s="1" t="s">
        <v>481</v>
      </c>
      <c r="E15" s="1" t="s">
        <v>482</v>
      </c>
    </row>
    <row r="16" customFormat="false" ht="35.05" hidden="false" customHeight="false" outlineLevel="0" collapsed="false">
      <c r="B16" s="32" t="s">
        <v>483</v>
      </c>
      <c r="C16" s="33" t="s">
        <v>484</v>
      </c>
      <c r="D16" s="34" t="s">
        <v>485</v>
      </c>
      <c r="E16" s="35" t="n">
        <v>8</v>
      </c>
    </row>
    <row r="17" customFormat="false" ht="23.85" hidden="false" customHeight="false" outlineLevel="0" collapsed="false">
      <c r="B17" s="32" t="s">
        <v>486</v>
      </c>
      <c r="C17" s="33" t="s">
        <v>487</v>
      </c>
      <c r="D17" s="34" t="s">
        <v>488</v>
      </c>
      <c r="E17" s="35" t="n">
        <v>10.5</v>
      </c>
    </row>
    <row r="18" customFormat="false" ht="23.85" hidden="false" customHeight="false" outlineLevel="0" collapsed="false">
      <c r="B18" s="32" t="s">
        <v>489</v>
      </c>
      <c r="C18" s="33" t="s">
        <v>490</v>
      </c>
      <c r="D18" s="34" t="s">
        <v>491</v>
      </c>
      <c r="E18" s="35" t="n">
        <v>6.5</v>
      </c>
    </row>
    <row r="19" customFormat="false" ht="35.05" hidden="false" customHeight="false" outlineLevel="0" collapsed="false">
      <c r="B19" s="32" t="s">
        <v>492</v>
      </c>
      <c r="C19" s="33" t="s">
        <v>493</v>
      </c>
      <c r="D19" s="34" t="s">
        <v>494</v>
      </c>
      <c r="E19" s="35" t="n">
        <v>9.5</v>
      </c>
    </row>
    <row r="20" customFormat="false" ht="46.25" hidden="false" customHeight="false" outlineLevel="0" collapsed="false">
      <c r="B20" s="32" t="s">
        <v>495</v>
      </c>
      <c r="C20" s="33" t="s">
        <v>496</v>
      </c>
      <c r="D20" s="34" t="s">
        <v>497</v>
      </c>
      <c r="E20" s="35" t="n">
        <v>8</v>
      </c>
    </row>
    <row r="21" customFormat="false" ht="23.85" hidden="false" customHeight="false" outlineLevel="0" collapsed="false">
      <c r="B21" s="32" t="s">
        <v>498</v>
      </c>
      <c r="C21" s="33" t="s">
        <v>499</v>
      </c>
      <c r="D21" s="34" t="s">
        <v>500</v>
      </c>
      <c r="E21" s="35" t="n">
        <v>9</v>
      </c>
    </row>
    <row r="22" customFormat="false" ht="46.25" hidden="false" customHeight="false" outlineLevel="0" collapsed="false">
      <c r="B22" s="36" t="s">
        <v>501</v>
      </c>
      <c r="C22" s="33" t="s">
        <v>502</v>
      </c>
      <c r="D22" s="34" t="s">
        <v>503</v>
      </c>
      <c r="E22" s="35" t="n">
        <v>7</v>
      </c>
    </row>
    <row r="23" customFormat="false" ht="57.45" hidden="false" customHeight="false" outlineLevel="0" collapsed="false">
      <c r="B23" s="36" t="s">
        <v>504</v>
      </c>
      <c r="C23" s="33" t="s">
        <v>505</v>
      </c>
      <c r="D23" s="34" t="s">
        <v>506</v>
      </c>
      <c r="E23" s="35" t="n">
        <v>10.25</v>
      </c>
    </row>
    <row r="24" customFormat="false" ht="57.45" hidden="false" customHeight="false" outlineLevel="0" collapsed="false">
      <c r="B24" s="36" t="s">
        <v>507</v>
      </c>
      <c r="C24" s="33" t="s">
        <v>508</v>
      </c>
      <c r="D24" s="34" t="s">
        <v>509</v>
      </c>
      <c r="E24" s="35" t="n">
        <v>4.5</v>
      </c>
    </row>
  </sheetData>
  <mergeCells count="6">
    <mergeCell ref="B2:E2"/>
    <mergeCell ref="B3:E3"/>
    <mergeCell ref="B5:E5"/>
    <mergeCell ref="C6:D6"/>
    <mergeCell ref="B8:E8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65"/>
  </cols>
  <sheetData>
    <row r="2" customFormat="false" ht="19.7" hidden="false" customHeight="false" outlineLevel="0" collapsed="false">
      <c r="B2" s="37" t="s">
        <v>510</v>
      </c>
      <c r="C2" s="37"/>
    </row>
    <row r="4" customFormat="false" ht="21.75" hidden="false" customHeight="true" outlineLevel="0" collapsed="false">
      <c r="B4" s="38" t="s">
        <v>511</v>
      </c>
      <c r="C4" s="38"/>
    </row>
    <row r="5" customFormat="false" ht="23.85" hidden="false" customHeight="false" outlineLevel="0" collapsed="false">
      <c r="B5" s="39" t="s">
        <v>512</v>
      </c>
      <c r="C5" s="40" t="s">
        <v>513</v>
      </c>
    </row>
    <row r="6" customFormat="false" ht="15" hidden="false" customHeight="false" outlineLevel="0" collapsed="false">
      <c r="B6" s="39" t="s">
        <v>514</v>
      </c>
      <c r="C6" s="40" t="s">
        <v>515</v>
      </c>
    </row>
    <row r="7" customFormat="false" ht="23.85" hidden="false" customHeight="false" outlineLevel="0" collapsed="false">
      <c r="B7" s="39" t="s">
        <v>516</v>
      </c>
      <c r="C7" s="40" t="s">
        <v>517</v>
      </c>
    </row>
    <row r="8" customFormat="false" ht="15" hidden="false" customHeight="false" outlineLevel="0" collapsed="false">
      <c r="B8" s="39" t="s">
        <v>518</v>
      </c>
      <c r="C8" s="40" t="s">
        <v>519</v>
      </c>
    </row>
    <row r="9" customFormat="false" ht="6" hidden="false" customHeight="true" outlineLevel="0" collapsed="false"/>
    <row r="10" customFormat="false" ht="21.75" hidden="false" customHeight="true" outlineLevel="0" collapsed="false">
      <c r="B10" s="38" t="s">
        <v>520</v>
      </c>
      <c r="C10" s="38"/>
    </row>
    <row r="11" customFormat="false" ht="15" hidden="false" customHeight="false" outlineLevel="0" collapsed="false">
      <c r="B11" s="39" t="s">
        <v>521</v>
      </c>
      <c r="C11" s="40" t="s">
        <v>522</v>
      </c>
    </row>
    <row r="12" customFormat="false" ht="15" hidden="false" customHeight="false" outlineLevel="0" collapsed="false">
      <c r="B12" s="39" t="s">
        <v>512</v>
      </c>
      <c r="C12" s="40" t="s">
        <v>523</v>
      </c>
    </row>
    <row r="13" customFormat="false" ht="23.85" hidden="false" customHeight="false" outlineLevel="0" collapsed="false">
      <c r="B13" s="39" t="s">
        <v>524</v>
      </c>
      <c r="C13" s="40" t="s">
        <v>525</v>
      </c>
    </row>
    <row r="14" customFormat="false" ht="15" hidden="false" customHeight="false" outlineLevel="0" collapsed="false">
      <c r="B14" s="39" t="s">
        <v>526</v>
      </c>
      <c r="C14" s="40" t="s">
        <v>527</v>
      </c>
    </row>
    <row r="15" customFormat="false" ht="6" hidden="false" customHeight="true" outlineLevel="0" collapsed="false"/>
    <row r="16" customFormat="false" ht="21.75" hidden="false" customHeight="true" outlineLevel="0" collapsed="false">
      <c r="B16" s="38" t="s">
        <v>528</v>
      </c>
      <c r="C16" s="38"/>
    </row>
    <row r="17" customFormat="false" ht="15" hidden="false" customHeight="false" outlineLevel="0" collapsed="false">
      <c r="B17" s="39" t="s">
        <v>529</v>
      </c>
      <c r="C17" s="40" t="s">
        <v>530</v>
      </c>
    </row>
    <row r="18" customFormat="false" ht="23.85" hidden="false" customHeight="false" outlineLevel="0" collapsed="false">
      <c r="B18" s="39" t="s">
        <v>531</v>
      </c>
      <c r="C18" s="40" t="s">
        <v>532</v>
      </c>
    </row>
    <row r="19" customFormat="false" ht="15" hidden="false" customHeight="false" outlineLevel="0" collapsed="false">
      <c r="B19" s="39" t="s">
        <v>526</v>
      </c>
      <c r="C19" s="40" t="s">
        <v>533</v>
      </c>
    </row>
    <row r="20" customFormat="false" ht="15" hidden="false" customHeight="false" outlineLevel="0" collapsed="false">
      <c r="B20" s="39" t="s">
        <v>534</v>
      </c>
      <c r="C20" s="40" t="s">
        <v>535</v>
      </c>
    </row>
    <row r="21" customFormat="false" ht="6" hidden="false" customHeight="true" outlineLevel="0" collapsed="false"/>
    <row r="22" customFormat="false" ht="21.75" hidden="false" customHeight="true" outlineLevel="0" collapsed="false">
      <c r="B22" s="38" t="s">
        <v>536</v>
      </c>
      <c r="C22" s="38"/>
    </row>
    <row r="23" customFormat="false" ht="15" hidden="false" customHeight="false" outlineLevel="0" collapsed="false">
      <c r="B23" s="39" t="s">
        <v>537</v>
      </c>
      <c r="C23" s="40" t="s">
        <v>538</v>
      </c>
    </row>
    <row r="24" customFormat="false" ht="15" hidden="false" customHeight="false" outlineLevel="0" collapsed="false">
      <c r="B24" s="39" t="s">
        <v>539</v>
      </c>
      <c r="C24" s="40" t="s">
        <v>540</v>
      </c>
    </row>
    <row r="25" customFormat="false" ht="15" hidden="false" customHeight="false" outlineLevel="0" collapsed="false">
      <c r="B25" s="39" t="s">
        <v>541</v>
      </c>
      <c r="C25" s="40" t="s">
        <v>542</v>
      </c>
    </row>
    <row r="26" customFormat="false" ht="15" hidden="false" customHeight="false" outlineLevel="0" collapsed="false">
      <c r="B26" s="39" t="s">
        <v>543</v>
      </c>
      <c r="C26" s="40" t="s">
        <v>544</v>
      </c>
    </row>
    <row r="27" customFormat="false" ht="15" hidden="false" customHeight="false" outlineLevel="0" collapsed="false">
      <c r="B27" s="39" t="s">
        <v>545</v>
      </c>
      <c r="C27" s="40" t="s">
        <v>546</v>
      </c>
    </row>
    <row r="28" customFormat="false" ht="15" hidden="false" customHeight="false" outlineLevel="0" collapsed="false">
      <c r="B28" s="39" t="s">
        <v>547</v>
      </c>
      <c r="C28" s="40" t="s">
        <v>548</v>
      </c>
    </row>
    <row r="29" customFormat="false" ht="15" hidden="false" customHeight="false" outlineLevel="0" collapsed="false">
      <c r="B29" s="39" t="s">
        <v>549</v>
      </c>
      <c r="C29" s="40" t="s">
        <v>550</v>
      </c>
    </row>
    <row r="30" customFormat="false" ht="15" hidden="false" customHeight="false" outlineLevel="0" collapsed="false">
      <c r="B30" s="39" t="s">
        <v>551</v>
      </c>
      <c r="C30" s="40" t="s">
        <v>552</v>
      </c>
    </row>
    <row r="31" customFormat="false" ht="6" hidden="false" customHeight="true" outlineLevel="0" collapsed="false"/>
    <row r="32" customFormat="false" ht="21.75" hidden="false" customHeight="true" outlineLevel="0" collapsed="false">
      <c r="B32" s="38" t="s">
        <v>553</v>
      </c>
      <c r="C32" s="38"/>
    </row>
    <row r="33" customFormat="false" ht="15" hidden="false" customHeight="false" outlineLevel="0" collapsed="false">
      <c r="B33" s="39" t="s">
        <v>554</v>
      </c>
      <c r="C33" s="40" t="s">
        <v>555</v>
      </c>
    </row>
    <row r="34" customFormat="false" ht="15" hidden="false" customHeight="false" outlineLevel="0" collapsed="false">
      <c r="B34" s="39" t="s">
        <v>556</v>
      </c>
      <c r="C34" s="40" t="s">
        <v>557</v>
      </c>
    </row>
    <row r="35" customFormat="false" ht="15" hidden="false" customHeight="false" outlineLevel="0" collapsed="false">
      <c r="B35" s="39" t="s">
        <v>558</v>
      </c>
      <c r="C35" s="40" t="s">
        <v>559</v>
      </c>
    </row>
    <row r="36" customFormat="false" ht="15" hidden="false" customHeight="false" outlineLevel="0" collapsed="false">
      <c r="B36" s="39" t="s">
        <v>560</v>
      </c>
      <c r="C36" s="40" t="s">
        <v>561</v>
      </c>
    </row>
    <row r="37" customFormat="false" ht="15" hidden="false" customHeight="false" outlineLevel="0" collapsed="false">
      <c r="B37" s="39" t="s">
        <v>562</v>
      </c>
      <c r="C37" s="40" t="s">
        <v>563</v>
      </c>
    </row>
    <row r="38" customFormat="false" ht="6" hidden="false" customHeight="true" outlineLevel="0" collapsed="false"/>
    <row r="39" customFormat="false" ht="21.75" hidden="false" customHeight="true" outlineLevel="0" collapsed="false">
      <c r="B39" s="38" t="s">
        <v>564</v>
      </c>
      <c r="C39" s="38"/>
    </row>
    <row r="40" customFormat="false" ht="15" hidden="false" customHeight="false" outlineLevel="0" collapsed="false">
      <c r="B40" s="39" t="s">
        <v>565</v>
      </c>
      <c r="C40" s="40" t="s">
        <v>566</v>
      </c>
    </row>
    <row r="41" customFormat="false" ht="15" hidden="false" customHeight="false" outlineLevel="0" collapsed="false">
      <c r="B41" s="39" t="s">
        <v>567</v>
      </c>
      <c r="C41" s="40" t="s">
        <v>568</v>
      </c>
    </row>
    <row r="42" customFormat="false" ht="15" hidden="false" customHeight="false" outlineLevel="0" collapsed="false">
      <c r="B42" s="39" t="s">
        <v>569</v>
      </c>
      <c r="C42" s="40" t="s">
        <v>570</v>
      </c>
    </row>
    <row r="43" customFormat="false" ht="15" hidden="false" customHeight="false" outlineLevel="0" collapsed="false">
      <c r="B43" s="39" t="s">
        <v>571</v>
      </c>
      <c r="C43" s="40" t="s">
        <v>572</v>
      </c>
    </row>
    <row r="44" customFormat="false" ht="15" hidden="false" customHeight="false" outlineLevel="0" collapsed="false">
      <c r="B44" s="39" t="s">
        <v>573</v>
      </c>
      <c r="C44" s="40" t="s">
        <v>574</v>
      </c>
    </row>
    <row r="45" customFormat="false" ht="15" hidden="false" customHeight="false" outlineLevel="0" collapsed="false">
      <c r="B45" s="39" t="s">
        <v>575</v>
      </c>
      <c r="C45" s="40" t="s">
        <v>576</v>
      </c>
    </row>
  </sheetData>
  <mergeCells count="7">
    <mergeCell ref="B2:C2"/>
    <mergeCell ref="B4:C4"/>
    <mergeCell ref="B10:C10"/>
    <mergeCell ref="B16:C16"/>
    <mergeCell ref="B22:C22"/>
    <mergeCell ref="B32:C32"/>
    <mergeCell ref="B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2026-07-09T06:01:02Z</dcterms:created>
  <dc:creator>openpyxl</dc:creator>
  <dc:description/>
  <dc:language>en-US</dc:language>
  <cp:lastModifiedBy/>
  <dcterms:modified xsi:type="dcterms:W3CDTF">2026-07-09T06:01:03Z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