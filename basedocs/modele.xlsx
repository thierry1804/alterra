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ts\madarail\spec\"/>
    </mc:Choice>
  </mc:AlternateContent>
  <bookViews>
    <workbookView xWindow="0" yWindow="0" windowWidth="19368" windowHeight="9192"/>
  </bookViews>
  <sheets>
    <sheet name="Backlog" sheetId="1" r:id="rId1"/>
    <sheet name="Charges Complémentaires" sheetId="2" r:id="rId2"/>
    <sheet name="Macro-Planning" sheetId="3" r:id="rId3"/>
  </sheets>
  <calcPr calcId="162913" iterateDelta="1E-4"/>
</workbook>
</file>

<file path=xl/calcChain.xml><?xml version="1.0" encoding="utf-8"?>
<calcChain xmlns="http://schemas.openxmlformats.org/spreadsheetml/2006/main">
  <c r="M38" i="3" l="1"/>
  <c r="M37" i="3"/>
  <c r="M36" i="3"/>
  <c r="L36" i="3"/>
  <c r="L34" i="3"/>
  <c r="L33" i="3"/>
  <c r="K33" i="3"/>
  <c r="K32" i="3"/>
  <c r="K31" i="3"/>
  <c r="K30" i="3"/>
  <c r="J30" i="3"/>
  <c r="J28" i="3"/>
  <c r="J27" i="3"/>
  <c r="J26" i="3"/>
  <c r="I26" i="3"/>
  <c r="I25" i="3"/>
  <c r="I24" i="3"/>
  <c r="H24" i="3"/>
  <c r="H22" i="3"/>
  <c r="H21" i="3"/>
  <c r="G21" i="3"/>
  <c r="G20" i="3"/>
  <c r="G19" i="3"/>
  <c r="F19" i="3"/>
  <c r="G18" i="3"/>
  <c r="F18" i="3"/>
  <c r="F16" i="3"/>
  <c r="F15" i="3"/>
  <c r="E15" i="3"/>
  <c r="E14" i="3"/>
  <c r="E13" i="3"/>
  <c r="D13" i="3"/>
  <c r="D12" i="3"/>
  <c r="D11" i="3"/>
  <c r="C9" i="3"/>
  <c r="C8" i="3"/>
  <c r="C7" i="3"/>
  <c r="B7" i="3"/>
  <c r="B6" i="3"/>
  <c r="B5" i="3"/>
  <c r="B4" i="3"/>
  <c r="D11" i="2"/>
  <c r="C10" i="2"/>
  <c r="C9" i="2"/>
  <c r="C8" i="2"/>
  <c r="C7" i="2"/>
  <c r="C6" i="2"/>
  <c r="C5" i="2"/>
  <c r="C4" i="2"/>
  <c r="G133" i="1"/>
  <c r="F133" i="1"/>
  <c r="H132" i="1"/>
  <c r="H131" i="1"/>
  <c r="H133" i="1" s="1"/>
  <c r="G129" i="1"/>
  <c r="F129" i="1"/>
  <c r="H128" i="1"/>
  <c r="H127" i="1"/>
  <c r="H126" i="1"/>
  <c r="H129" i="1" s="1"/>
  <c r="G124" i="1"/>
  <c r="F124" i="1"/>
  <c r="H123" i="1"/>
  <c r="H122" i="1"/>
  <c r="H121" i="1"/>
  <c r="H120" i="1"/>
  <c r="H124" i="1" s="1"/>
  <c r="G118" i="1"/>
  <c r="F118" i="1"/>
  <c r="H117" i="1"/>
  <c r="H116" i="1"/>
  <c r="H118" i="1" s="1"/>
  <c r="H115" i="1"/>
  <c r="H114" i="1"/>
  <c r="H113" i="1"/>
  <c r="G111" i="1"/>
  <c r="F111" i="1"/>
  <c r="H110" i="1"/>
  <c r="H109" i="1"/>
  <c r="H111" i="1" s="1"/>
  <c r="H108" i="1"/>
  <c r="H107" i="1"/>
  <c r="G105" i="1"/>
  <c r="F105" i="1"/>
  <c r="H104" i="1"/>
  <c r="H103" i="1"/>
  <c r="H102" i="1"/>
  <c r="H105" i="1" s="1"/>
  <c r="H101" i="1"/>
  <c r="G99" i="1"/>
  <c r="F99" i="1"/>
  <c r="H98" i="1"/>
  <c r="H97" i="1"/>
  <c r="H96" i="1"/>
  <c r="H95" i="1"/>
  <c r="H94" i="1"/>
  <c r="H99" i="1" s="1"/>
  <c r="G92" i="1"/>
  <c r="F92" i="1"/>
  <c r="F136" i="1" s="1"/>
  <c r="H91" i="1"/>
  <c r="H90" i="1"/>
  <c r="H89" i="1"/>
  <c r="H88" i="1"/>
  <c r="H87" i="1"/>
  <c r="H92" i="1" s="1"/>
  <c r="H136" i="1" s="1"/>
  <c r="G84" i="1"/>
  <c r="F84" i="1"/>
  <c r="H83" i="1"/>
  <c r="H82" i="1"/>
  <c r="H81" i="1"/>
  <c r="H84" i="1" s="1"/>
  <c r="G79" i="1"/>
  <c r="F79" i="1"/>
  <c r="H78" i="1"/>
  <c r="H77" i="1"/>
  <c r="H79" i="1" s="1"/>
  <c r="H76" i="1"/>
  <c r="G74" i="1"/>
  <c r="F74" i="1"/>
  <c r="H73" i="1"/>
  <c r="H72" i="1"/>
  <c r="H74" i="1" s="1"/>
  <c r="G70" i="1"/>
  <c r="F70" i="1"/>
  <c r="H69" i="1"/>
  <c r="H68" i="1"/>
  <c r="H67" i="1"/>
  <c r="H70" i="1" s="1"/>
  <c r="G65" i="1"/>
  <c r="F65" i="1"/>
  <c r="H64" i="1"/>
  <c r="H63" i="1"/>
  <c r="H62" i="1"/>
  <c r="H61" i="1"/>
  <c r="H65" i="1" s="1"/>
  <c r="G59" i="1"/>
  <c r="F59" i="1"/>
  <c r="H58" i="1"/>
  <c r="H57" i="1"/>
  <c r="H59" i="1" s="1"/>
  <c r="H56" i="1"/>
  <c r="H55" i="1"/>
  <c r="G53" i="1"/>
  <c r="F53" i="1"/>
  <c r="H52" i="1"/>
  <c r="H51" i="1"/>
  <c r="H50" i="1"/>
  <c r="H53" i="1" s="1"/>
  <c r="G48" i="1"/>
  <c r="F48" i="1"/>
  <c r="H47" i="1"/>
  <c r="H46" i="1"/>
  <c r="H45" i="1"/>
  <c r="H44" i="1"/>
  <c r="H48" i="1" s="1"/>
  <c r="G42" i="1"/>
  <c r="F42" i="1"/>
  <c r="H41" i="1"/>
  <c r="H40" i="1"/>
  <c r="H39" i="1"/>
  <c r="H38" i="1"/>
  <c r="H37" i="1"/>
  <c r="H36" i="1"/>
  <c r="H42" i="1" s="1"/>
  <c r="H35" i="1"/>
  <c r="H34" i="1"/>
  <c r="H33" i="1"/>
  <c r="G31" i="1"/>
  <c r="F31" i="1"/>
  <c r="H30" i="1"/>
  <c r="H29" i="1"/>
  <c r="H31" i="1" s="1"/>
  <c r="H28" i="1"/>
  <c r="H27" i="1"/>
  <c r="G25" i="1"/>
  <c r="F25" i="1"/>
  <c r="H24" i="1"/>
  <c r="H23" i="1"/>
  <c r="H22" i="1"/>
  <c r="H25" i="1" s="1"/>
  <c r="H21" i="1"/>
  <c r="G19" i="1"/>
  <c r="F19" i="1"/>
  <c r="H18" i="1"/>
  <c r="H17" i="1"/>
  <c r="H16" i="1"/>
  <c r="H19" i="1" s="1"/>
  <c r="G14" i="1"/>
  <c r="F14" i="1"/>
  <c r="H13" i="1"/>
  <c r="H12" i="1"/>
  <c r="H14" i="1" s="1"/>
  <c r="H11" i="1"/>
  <c r="H10" i="1"/>
  <c r="G8" i="1"/>
  <c r="G135" i="1" s="1"/>
  <c r="F8" i="1"/>
  <c r="F135" i="1" s="1"/>
  <c r="H7" i="1"/>
  <c r="H6" i="1"/>
  <c r="H5" i="1"/>
  <c r="H8" i="1" s="1"/>
  <c r="H4" i="1"/>
  <c r="G136" i="1" l="1"/>
  <c r="F138" i="1"/>
  <c r="H135" i="1"/>
  <c r="H138" i="1" s="1"/>
  <c r="G138" i="1"/>
  <c r="G9" i="2" l="1"/>
  <c r="G7" i="2"/>
  <c r="G5" i="2"/>
  <c r="G10" i="2"/>
  <c r="G8" i="2"/>
  <c r="G6" i="2"/>
  <c r="G4" i="2"/>
  <c r="G11" i="2" l="1"/>
  <c r="G12" i="2" s="1"/>
  <c r="B16" i="2" s="1"/>
  <c r="B17" i="2" s="1"/>
  <c r="B18" i="2" l="1"/>
  <c r="B19" i="2" s="1"/>
</calcChain>
</file>

<file path=xl/sharedStrings.xml><?xml version="1.0" encoding="utf-8"?>
<sst xmlns="http://schemas.openxmlformats.org/spreadsheetml/2006/main" count="568" uniqueCount="420">
  <si>
    <t>Use Case</t>
  </si>
  <si>
    <t>User Story</t>
  </si>
  <si>
    <t>Acteur</t>
  </si>
  <si>
    <t>Tâche principale</t>
  </si>
  <si>
    <t>Description</t>
  </si>
  <si>
    <t>Estim.
UI / Frontend
(j/h)</t>
  </si>
  <si>
    <t>Estim.
Backend / Logique
(j/h)</t>
  </si>
  <si>
    <t>Total
(j/h)</t>
  </si>
  <si>
    <t>━━━  SECTION A — FRONTEND  (React 18 · TypeScript · Vite · Tailwind CSS)  ━━━</t>
  </si>
  <si>
    <t>Module FE-0 — Setup &amp; Infrastructure Frontend</t>
  </si>
  <si>
    <t>UC-FE-SETUP</t>
  </si>
  <si>
    <t>Init Vite + React + TypeScript + ESLint + Prettier (path aliases, tsconfig strict)</t>
  </si>
  <si>
    <t>Développeur</t>
  </si>
  <si>
    <t>Config projet</t>
  </si>
  <si>
    <t>Scaffolding vite@7, @vitejs/plugin-react, typescript-eslint 9, path aliases @/ → src/, .env.local VITE_API_URL</t>
  </si>
  <si>
    <t>Thème Tailwind CSS personnalisé + composants atomiques (Button, Card, Input, MadarailLogo)</t>
  </si>
  <si>
    <t>Design system</t>
  </si>
  <si>
    <t>Palette madarail (navy #0A2341, red #E30613, rail #F4F8FB), variantes Button primary/secondary, Card + titre, Input + label, SVG logo inline</t>
  </si>
  <si>
    <t>Architecture AppContext (Context API, currentUser en mémoire, currentView, isOnline)</t>
  </si>
  <si>
    <t>État global</t>
  </si>
  <si>
    <t>useAppContext hook, état : currentUser (mémoire — jamais localStorage), currentView + guards, isOnline via window.addEventListener online/offline</t>
  </si>
  <si>
    <t>Config PWA : vite-plugin-pwa, manifest.json, Service Worker Workbox, mode standalone</t>
  </si>
  <si>
    <t>PWA</t>
  </si>
  <si>
    <t>manifest thème madarail navy, icônes 192/512px, stratégie Network-First API, Cache-First assets statiques, installable Android/iOS</t>
  </si>
  <si>
    <t>Sous-total Module FE-0 — Setup &amp; Infrastructure Frontend</t>
  </si>
  <si>
    <t>Module FE-1 — Authentification (UI + gestion tokens JWT)</t>
  </si>
  <si>
    <t>UC-FE-AUTH</t>
  </si>
  <si>
    <t>Page connexion (email/mot de passe, logo Madarail, messages d'erreur traduits)</t>
  </si>
  <si>
    <t>Agent / Admin</t>
  </si>
  <si>
    <t>Formulaire login</t>
  </si>
  <si>
    <t>Champs email + mdp, logo SVG MadarailLogo centré, gestion erreurs API (401 invalid credentials), états loading</t>
  </si>
  <si>
    <t>Gestion tokens JWT : accessToken en mémoire + intercepteur Axios refresh (401 → POST /auth/refresh → retry)</t>
  </si>
  <si>
    <t>JWT client</t>
  </si>
  <si>
    <t>Instance axios avec Authorization: Bearer, intercepteur response : 401 → appel /auth/refresh (cookie httpOnly envoyé auto) → mise à jour accessToken → retry requête originale</t>
  </si>
  <si>
    <t>Guards frontend + redirections post-login par rôle (admin→dashboard, agent→pos, contrôleur→sales)</t>
  </si>
  <si>
    <t>Guards &amp; routing</t>
  </si>
  <si>
    <t>currentView initialisé selon role à la connexion, guards bloquant accès non autorisé, redirect vers vue de fallback définie par rôle</t>
  </si>
  <si>
    <t>Logout : POST /auth/logout (révocation refresh token) + nettoyage état React</t>
  </si>
  <si>
    <t>Déconnexion</t>
  </si>
  <si>
    <t>Appel POST /auth/logout, mise à null de currentUser et accessToken, retour à l'écran de connexion</t>
  </si>
  <si>
    <t>Sous-total Module FE-1 — Authentification</t>
  </si>
  <si>
    <t>Module FE-2 — Layout &amp; Navigation</t>
  </si>
  <si>
    <t>UC-FE-NAV</t>
  </si>
  <si>
    <t>Sidebar responsive : desktop fixe rétractable (localStorage), mobile tiroir overlay + animation</t>
  </si>
  <si>
    <t>Tous</t>
  </si>
  <si>
    <t>Sidebar</t>
  </si>
  <si>
    <t>lg:fixed, overlay mobile fond semi-transparent, animation translate-x, état collapsed persisté "madarail-sidebar-collapsed", logo + badge version</t>
  </si>
  <si>
    <t>Menu filtré par rôle (7 items admin / 5 agent / 3 contrôleur) + surlignage item actif</t>
  </si>
  <si>
    <t>Menu par rôle</t>
  </si>
  <si>
    <t>menuItems[] avec propriété roles[], filtre visibleItems, highlight currentView, icônes Lucide React</t>
  </si>
  <si>
    <t>Header mobile (hamburger, titre vue courante, badge OfflineIndicator compact)</t>
  </si>
  <si>
    <t>Header mobile</t>
  </si>
  <si>
    <t>Barre top fixe &lt; 1024px, icône WifiOff amber si !isOnline, titre dynamique par currentView</t>
  </si>
  <si>
    <t>Sous-total Module FE-2 — Layout &amp; Navigation</t>
  </si>
  <si>
    <t>Module FE-3 — Couche API client (Axios + hooks + SSE)</t>
  </si>
  <si>
    <t>UC-FE-API</t>
  </si>
  <si>
    <t>Instance Axios : baseURL VITE_API_URL, headers Authorization Bearer, gestion erreurs normalisée</t>
  </si>
  <si>
    <t>Config Axios</t>
  </si>
  <si>
    <t>Singleton axios avec baseURL, intercepteur request → inject Bearer token, intercepteur response → gestion 401 (refresh) et 403 (alert rôle)</t>
  </si>
  <si>
    <t>Fonctions API par entité (auth, routes, sales, reservations, users) avec types TypeScript</t>
  </si>
  <si>
    <t>Services API</t>
  </si>
  <si>
    <t>Modules api/*.ts : fonctions typées (getRoutes, createSale, createReservation, etc.), DTOs request/response alignés avec le backend NestJS</t>
  </si>
  <si>
    <t>Hooks data-fetching personnalisés (useRoutes, useSales, useReservations) avec état loading/error</t>
  </si>
  <si>
    <t>Hooks React</t>
  </si>
  <si>
    <t>Hooks useEffect + useState ou TanStack Query léger, cache local, refetch on focus, invalidation après mutation (vente, réservation)</t>
  </si>
  <si>
    <t>Hook useSSE : consommation EventSource GET /events/routes, mise à jour stock catalogue en temps réel</t>
  </si>
  <si>
    <t>Hook SSE</t>
  </si>
  <si>
    <t>new EventSource("/events/routes", {withCredentials:true}), parse événement route-updated {id, seatsAvailable}, màj catalogue sans reload, cleanup sur démontage</t>
  </si>
  <si>
    <t>Sous-total Module FE-3 — Couche API client</t>
  </si>
  <si>
    <t>Module FE-4 — Tableau de bord (admin uniquement)</t>
  </si>
  <si>
    <t>UC-FE-DASH</t>
  </si>
  <si>
    <t>KPI widgets temps réel : recettes du jour, billets vendus, transactions, panier moyen, trajets actifs</t>
  </si>
  <si>
    <t>Admin</t>
  </si>
  <si>
    <t>KPIs temps réel</t>
  </si>
  <si>
    <t>5 cards avec icônes Lucide, calcul depuis GET /sales?date=today, formatAriary(), mise à jour à chaque invalidation du cache</t>
  </si>
  <si>
    <t>Top 5 trajets les plus vendus (classés par revenus décroissants — départ→arrivée, classe, qté, montant)</t>
  </si>
  <si>
    <t>Top 5 trajets</t>
  </si>
  <si>
    <t>Agrégation côté frontend sur sales du jour, tri revenue DESC, tableau 5 lignes avec badge classe et formatAriary</t>
  </si>
  <si>
    <t>Répartition opérateurs Mobile Money (barres MVola / Orange Money / Airtel Money — nb + %)</t>
  </si>
  <si>
    <t>Barres Mobile Money</t>
  </si>
  <si>
    <t>Comptage par paymentMethod, barres CSS width proportionnelle, affichage nb transactions + pourcentage</t>
  </si>
  <si>
    <t>Histogramme ventes par heure (revenus cumulés par tranche horaire, 0h–23h)</t>
  </si>
  <si>
    <t>Histogramme horaire</t>
  </si>
  <si>
    <t>Regroupement par heure(createdAt), tableau 24 slots, barres SVG ou div height proportionnelle au revenu max de la journée</t>
  </si>
  <si>
    <t>Sous-total Module FE-4 — Tableau de bord</t>
  </si>
  <si>
    <t>Module FE-5 — POS — Vente de billets (cœur applicatif)</t>
  </si>
  <si>
    <t>UC-FE-POS</t>
  </si>
  <si>
    <t>Catalogue trajets filtré par gare d'affectation agent (GET /routes?departure=user.gare)</t>
  </si>
  <si>
    <t>Agent</t>
  </si>
  <si>
    <t>Catalogue filtré</t>
  </si>
  <si>
    <t>Admin voit tout (pas de filtre), agent filtre departure. Grille responsive : 1 col &lt;640px, 2 tablette, 3 ≥1280px. Trajets complets (0 place) grisés en bas.</t>
  </si>
  <si>
    <t>Filtres catalogue : service commercial, code ligne (TCE/TA/MOR), recherche textuelle debounce 300ms</t>
  </si>
  <si>
    <t>Filtres POS</t>
  </si>
  <si>
    <t>Dropdowns service (Tous / Train voyageur / Micheline Viko Viko / Trans Lémurie Express) et ligne, input debounce, compteur résultats visibles</t>
  </si>
  <si>
    <t>Carte trajet : badge statut Disponible ≥10 (vert) / Stock faible 1–9 (orange) / Complet 0 (rouge + désactivé)</t>
  </si>
  <si>
    <t>TrainCard</t>
  </si>
  <si>
    <t>Badge coloré mis à jour par SSE, serviceName + trainNumber, départ→arrivée, horaires, durée, operatingDays, classe, prix Ar</t>
  </si>
  <si>
    <t>Formulaire passager : Nom, Prénom, CIN (obligatoires) + date de voyage (min = aujourd'hui)</t>
  </si>
  <si>
    <t>Saisie passager</t>
  </si>
  <si>
    <t>Champs requis avec erreurs inline, date picker min=today, réinitialisation après "Ajouter au panier", validation avant ajout</t>
  </si>
  <si>
    <t>Gestion du panier : ajout trajet, quantités +/−, suppression individuelle, sous-total par ligne</t>
  </si>
  <si>
    <t>Panier</t>
  </si>
  <si>
    <t>Contrôle stock niveau 1 à l'ajout (qtyAlready + 1 &gt; seatsAvailable), boutons +/- désactivés si stock insuffisant, suppression à quantité 0</t>
  </si>
  <si>
    <t>Calcul financier : Sous-total HT + TVA 20 % + Total TTC, formatage Ariary</t>
  </si>
  <si>
    <t>Calcul TVA</t>
  </si>
  <si>
    <t>Σ(prix × qté), TVA = subtotal × 0.20, TTC = subtotal + tax, formatAriary() sur chaque montant, mise à jour réactive</t>
  </si>
  <si>
    <t>Sélection opérateur Mobile Money (MVola / Orange Money / Airtel Money) avec bottom-sheet mobile</t>
  </si>
  <si>
    <t>Paiement MM</t>
  </si>
  <si>
    <t>Boutons radio stylisés, sélection obligatoire avant validation, bottom-sheet sur mobile &lt;640px, inline sur desktop</t>
  </si>
  <si>
    <t>Validation + appel POST /sales + confirmation (toast/modal récapitulatif)</t>
  </si>
  <si>
    <t>Finalisation vente</t>
  </si>
  <si>
    <t>Appel POST /sales avec les items du panier, gestion erreur 409 (stock insuffisant), toast succès avec ID vente, vidage panier</t>
  </si>
  <si>
    <t>Mode lecture seule contrôleur (consultation catalogue sans panier ni actions de vente)</t>
  </si>
  <si>
    <t>Contrôleur</t>
  </si>
  <si>
    <t>Read-only POS</t>
  </si>
  <si>
    <t>Guard contrôleur masque panier, formulaire passager, boutons "Ajouter". Badge "Mode consultation uniquement".</t>
  </si>
  <si>
    <t>Sous-total Module FE-5 — POS — Vente de billets</t>
  </si>
  <si>
    <t>Module FE-6 — Réservation avec plan des sièges</t>
  </si>
  <si>
    <t>UC-FE-RES</t>
  </si>
  <si>
    <t>Flow réservation 4 étapes avec stepper : Trajet → Passager &amp; Date → Siège → Paiement</t>
  </si>
  <si>
    <t>Stepper réservation</t>
  </si>
  <si>
    <t>Indicateur visuel étapes (complété/actif/en attente), navigation prev/next, validation complète par étape, récapitulatif latéral persistant</t>
  </si>
  <si>
    <t>Composant SeatMap headless : grille CSS 2+2 (A/B | allée | C/D), états libre/réservé/sélectionné</t>
  </si>
  <si>
    <t>Composant SeatMap</t>
  </si>
  <si>
    <t>grid-cols-[1.5rem_1fr_1fr_0.75rem_1fr_1fr], n° rangée, légende états (fond clair/coloré/surligné), scroll horizontal mobile</t>
  </si>
  <si>
    <t>buildSeatGrid() : 3 configurations (88/52/20 places), états depuis GET /reservations?routeId=&amp;date=</t>
  </si>
  <si>
    <t>Logique sièges</t>
  </si>
  <si>
    <t>SeatMapConfig[] pour Train voyageur (22 rangées), TLE (13), Micheline (5). Numérotation 1A–1D. Status free/reserved depuis réponse API.</t>
  </si>
  <si>
    <t>Confirmation paiement → POST /reservations, gestion erreur 409 (conflit siège) + réouverture SeatMap</t>
  </si>
  <si>
    <t>Appel API réservation</t>
  </si>
  <si>
    <t>Appel POST /reservations, si 409 → alerte "Siège déjà réservé" + réinitialisation étape siège, si 200 → modale confirmation avec numéro réservation</t>
  </si>
  <si>
    <t>Sous-total Module FE-6 — Réservation avec plan des sièges</t>
  </si>
  <si>
    <t>Module FE-7 — Réattribution de siège (passager absent)</t>
  </si>
  <si>
    <t>UC-FE-REASSIGN</t>
  </si>
  <si>
    <t>Liste des réservations du trajet avec badges statuts (confirmé / non présenté / réattribué)</t>
  </si>
  <si>
    <t>Vue réservations</t>
  </si>
  <si>
    <t>GET /reservations?routeId=&amp;date=, tableau filtré par trainNumber+date, badges colorés : vert/orange/gris</t>
  </si>
  <si>
    <t>Action "Non présenté" → PATCH /reservations/:id/no-show + libération siège dans SeatMap</t>
  </si>
  <si>
    <t>Marquage no-show</t>
  </si>
  <si>
    <t>Appel PATCH /:id/no-show, invalidation cache réservations, siège repasse à libre dans buildSeatGrid côté frontend</t>
  </si>
  <si>
    <t>Formulaire réattribution + SeatMap → PATCH /reservations/:id/reassign</t>
  </si>
  <si>
    <t>Réattribution</t>
  </si>
  <si>
    <t>Modal CIN/nom/prénom nouveau passager + SeatMap avec siège no_show libre, appel PATCH /:id/reassign, confirmation</t>
  </si>
  <si>
    <t>Sous-total Module FE-7 — Réattribution de siège</t>
  </si>
  <si>
    <t>Module FE-8 — Gestion des trajets</t>
  </si>
  <si>
    <t>UC-FE-ROUTES</t>
  </si>
  <si>
    <t>Tableau trajets (10 colonnes spec) avec code couleur places : vert ≥30 / jaune 10–29 / rouge &lt;10 / gris = 0</t>
  </si>
  <si>
    <t>Admin / Agent</t>
  </si>
  <si>
    <t>Liste trajets</t>
  </si>
  <si>
    <t>GET /routes, DataTable triable, colonnes : service, N° train, départ→arrivée, ligne, classe, départ, arrivée, durée, jours, prix Ar, places. Code couleur.</t>
  </si>
  <si>
    <t>Barre de recherche multicritères (gare de départ/arrivée, service, code ligne)</t>
  </si>
  <si>
    <t>Filtres trajets</t>
  </si>
  <si>
    <t>Input live search, filtre combiné sur departure, arrival, serviceName, category, trainNumber — case insensitive</t>
  </si>
  <si>
    <t>Formulaire création/modification trajet (12 champs dont 10 obligatoires) → POST / PATCH /routes</t>
  </si>
  <si>
    <t>CRUD trajet</t>
  </si>
  <si>
    <t>Tous champs spec §8.2, validation requis, heure HH:MM, prix positif, appel POST/PATCH, modal avec fermeture et refresh liste</t>
  </si>
  <si>
    <t>Suppression avec modale de confirmation → DELETE /routes/:id</t>
  </si>
  <si>
    <t>Suppression trajet</t>
  </si>
  <si>
    <t>Confirmation "Trajet supprimé définitivement", appel DELETE, refresh liste, affichage confirmation visuelle</t>
  </si>
  <si>
    <t>Sous-total Module FE-8 — Gestion des trajets</t>
  </si>
  <si>
    <t>Module FE-9 — Historique des ventes</t>
  </si>
  <si>
    <t>UC-FE-SALES</t>
  </si>
  <si>
    <t>En-tête statistiques globales : total TTC cumulé, nb transactions, panier moyen, TVA collectée</t>
  </si>
  <si>
    <t>KPIs historique</t>
  </si>
  <si>
    <t>GET /sales (toutes périodes), 4 cards métriques, formatAriary sur chaque valeur</t>
  </si>
  <si>
    <t>Tableau transactions : ID, Date &amp; Heure, Agent, Gare, Nb billets, Total TTC, Opérateur, Action</t>
  </si>
  <si>
    <t>Tableau ventes</t>
  </si>
  <si>
    <t>8 colonnes, tri par date décroissant, pagination 20/page, responsive (colonnes masquées mobile)</t>
  </si>
  <si>
    <t>Modal détail vente : métadonnées + liste billets (trajet, classe, passager, CIN, siège) + récapitulatif TVA</t>
  </si>
  <si>
    <t>Détail vente</t>
  </si>
  <si>
    <t>GET /sales/:id, en-tête date/agent/gare/opérateur, tableau SaleItem[] avec prix×qté, pied sous-total+TVA+TTC</t>
  </si>
  <si>
    <t>Export CSV "billets-madarail-YYYY-MM-DD.csv" (séparateur ; , 9 colonnes spec §9.4)</t>
  </si>
  <si>
    <t>Export CSV</t>
  </si>
  <si>
    <t>Blob CSV, URL.createObjectURL, nom fichier date du jour, colonnes : ID;Date;Agent;Gare;Nb billets;Sous-total;TVA;Total;Opérateur</t>
  </si>
  <si>
    <t>Sous-total Module FE-9 — Historique des ventes</t>
  </si>
  <si>
    <t>Module FE-10 — Gestion des utilisateurs (admin)</t>
  </si>
  <si>
    <t>UC-FE-USERS</t>
  </si>
  <si>
    <t>Liste utilisateurs + stats (total/admins/agents/contrôleurs) + badges rôles colorés</t>
  </si>
  <si>
    <t>Liste utilisateurs</t>
  </si>
  <si>
    <t>GET /users, compteurs en en-tête, tableau avec badges rôles (bleu/rouge/ambre), point d'exploitation, date création</t>
  </si>
  <si>
    <t>Formulaire création/modification : nom, email, mot de passe, rôle, point d'exploitation → POST/PATCH /users</t>
  </si>
  <si>
    <t>CRUD utilisateurs</t>
  </si>
  <si>
    <t>Select rôle (Admin/Agent/Contrôleur), select gare depuis DEPARTURE_CITIES[], email unique, champ mdp masqué (création uniquement)</t>
  </si>
  <si>
    <t>Suppression avec confirmation → DELETE /users/:id (interdiction auto-suppression)</t>
  </si>
  <si>
    <t>Suppression utilisateur</t>
  </si>
  <si>
    <t>Modale confirmation, guard anti-auto-suppression côté frontend, appel DELETE, refresh liste</t>
  </si>
  <si>
    <t>Sous-total Module FE-10 — Gestion des utilisateurs</t>
  </si>
  <si>
    <t>Module FE-11 — Synchronisation Bluetooth (simulation)</t>
  </si>
  <si>
    <t>UC-FE-BT</t>
  </si>
  <si>
    <t>Interface états BT : idle → scanning → connecting → transferring → done / error avec animations</t>
  </si>
  <si>
    <t>Agent / Contrôleur</t>
  </si>
  <si>
    <t>UI Bluetooth</t>
  </si>
  <si>
    <t>Progression animée (spinner, barre), icône Bluetooth Lucide, logs séquentiels en temps réel, gestion état error avec retry</t>
  </si>
  <si>
    <t>Simulation transfert données (ventes + réservations en attente) via setTimeout séquentiels</t>
  </si>
  <si>
    <t>Simulation sync</t>
  </si>
  <si>
    <t>Compteurs nb ventes + nb réservations, simulation 4 étapes avec délais réalistes, récapitulatif "X ventes / Y réservations transférées"</t>
  </si>
  <si>
    <t>Sous-total Module FE-11 — Synchronisation Bluetooth</t>
  </si>
  <si>
    <t>Module FE-12 — Mode hors-ligne &amp; PWA</t>
  </si>
  <si>
    <t>UC-FE-PWA</t>
  </si>
  <si>
    <t>Service Worker Workbox + manifest PWA (thème madarail) + icônes + mode standalone installable</t>
  </si>
  <si>
    <t>PWA core</t>
  </si>
  <si>
    <t>vite-plugin-pwa, workbox-window, manifest.json avec name/theme_color navy, icônes 192+512px, installable Android/iOS/Chrome</t>
  </si>
  <si>
    <t>Stratégie cache : seed trajets + profil utilisateur à la connexion (IndexedDB), TTL 24h</t>
  </si>
  <si>
    <t>Cache données</t>
  </si>
  <si>
    <t>Appel GET /routes + GET /auth/me au login, stockage IndexedDB, TTL 24h, invalidation à la reconnexion si TTL expiré</t>
  </si>
  <si>
    <t>File d'attente ventes hors-ligne (IndexedDB) + synchronisation automatique au retour en ligne</t>
  </si>
  <si>
    <t>Queue sync offline</t>
  </si>
  <si>
    <t>IndexedDB store "pending-sales", écriture systématique si !isOnline, listener window.online → POST /sales en batch, gestion erreurs, badge compteur en attente</t>
  </si>
  <si>
    <t>Sous-total Module FE-12 — Mode hors-ligne &amp; PWA</t>
  </si>
  <si>
    <t>Module FE-13 — Tests frontend &amp; Qualité</t>
  </si>
  <si>
    <t>UC-FE-QA</t>
  </si>
  <si>
    <t>Tests unitaires Vitest : calcul TVA, contrôle stock, formatAriary, buildSeatGrid (~15 cas)</t>
  </si>
  <si>
    <t>Tests unitaires</t>
  </si>
  <si>
    <t>Vitest, fonctions pures : formatAriary, calcul subtotal/tax/total, contrôle stock niveau 1, buildSeatGrid états pour les 3 configs</t>
  </si>
  <si>
    <t>Tests composants React Testing Library : POS (ajout panier), SeatMap (sélection siège), form passager</t>
  </si>
  <si>
    <t>Tests composants</t>
  </si>
  <si>
    <t>RTL + user-event, mock axios, interactions : ajout billet au panier, sélection siège disponible/occupé, soumission formulaire invalide</t>
  </si>
  <si>
    <t>Audit responsive (375px / 768px / 1280px) + accessibilité axe-core + Lighthouse ≥ 85</t>
  </si>
  <si>
    <t>QA &amp; audit</t>
  </si>
  <si>
    <t>Chrome DevTools responsive, axe-core aria-labels/contrastes/focus, Lighthouse perf+a11y, corrections ciblées</t>
  </si>
  <si>
    <t>Sous-total Module FE-13 — Tests frontend</t>
  </si>
  <si>
    <t>━━━  SECTION B — BACKEND  (NestJS · PostgreSQL 16 · Prisma · JWT · SSE · Docker)  ━━━</t>
  </si>
  <si>
    <t>Module BE-0 — Setup NestJS + Prisma + Docker</t>
  </si>
  <si>
    <t>UC-BE-SETUP</t>
  </si>
  <si>
    <t>Init NestJS (CLI, ConfigModule, ValidationPipe globale, CORS, Helmet, logger Pino)</t>
  </si>
  <si>
    <t>Bootstrap NestJS</t>
  </si>
  <si>
    <t>@nestjs/config avec validation Joi, class-validator + class-transformer globaux, cors origin VITE_APP_URL, pino-http logger structuré</t>
  </si>
  <si>
    <t>Schéma Prisma : 6 models (User, Route, Sale, SaleItem, Reservation, ReassignedTo) + enums Role/ReservationStatus</t>
  </si>
  <si>
    <t>Schéma Prisma</t>
  </si>
  <si>
    <t>Models avec relations, clés étrangères, index (departure, createdAt, routeId+travelDate), enums ADMIN/AGENT/CONTROLLER et CONFIRMED/NO_SHOW/REASSIGNED</t>
  </si>
  <si>
    <t>Migrations Prisma + seed initial (trajets de référence Madarail + compte admin)</t>
  </si>
  <si>
    <t>Migrations &amp; seed</t>
  </si>
  <si>
    <t>prisma migrate dev, fichier seed.ts avec 10 trajets de référence (lignes TCE/TA/MOR), 1 admin, 3 agents, 1 contrôleur</t>
  </si>
  <si>
    <t>Docker Compose : postgres:16-alpine + api NestJS + nginx (frontend build multi-stage)</t>
  </si>
  <si>
    <t>Docker Compose</t>
  </si>
  <si>
    <t>Service db avec healthcheck, api depends_on:db, Dockerfile multi-stage (builder node:20-alpine → production node:20-alpine slim), web nginx:alpine avec config proxy /api → api:3000</t>
  </si>
  <si>
    <t>.env.example complet + Makefile (make dev, make build, make migrate, make seed)</t>
  </si>
  <si>
    <t>Config &amp; outillage</t>
  </si>
  <si>
    <t>Variables : DATABASE_URL, JWT_SECRET, JWT_REFRESH_SECRET, JWT_EXPIRES, JWT_REFRESH_EXPIRES, CORS_ORIGIN. Makefile pour réduire les commandes Docker/Prisma fréquentes.</t>
  </si>
  <si>
    <t>Sous-total Module BE-0 — Setup NestJS + Prisma + Docker</t>
  </si>
  <si>
    <t>Module BE-1 — Authentification JWT (login, refresh, logout, guards)</t>
  </si>
  <si>
    <t>UC-BE-AUTH</t>
  </si>
  <si>
    <t>Module Auth NestJS + Passport : JwtStrategy (access 15min) + JwtRefreshStrategy (refresh 7j httpOnly cookie)</t>
  </si>
  <si>
    <t>Auth module</t>
  </si>
  <si>
    <t>@nestjs/passport, @nestjs/jwt, JwtStrategy valide Bearer header, JwtRefreshStrategy lit cookie "refresh_token" httpOnly Secure SameSite=Strict</t>
  </si>
  <si>
    <t>POST /auth/login : validation credentials, génération paire tokens, cookie refresh httpOnly</t>
  </si>
  <si>
    <t>Login endpoint</t>
  </si>
  <si>
    <t>bcrypt.compare, génération access JWT + refresh JWT, Set-Cookie refresh_token httpOnly, retour { accessToken, user: {id, email, name, role, gare} }</t>
  </si>
  <si>
    <t>POST /auth/refresh : validation refresh token (cookie), rotation token, nouveau access token</t>
  </si>
  <si>
    <t>Refresh endpoint</t>
  </si>
  <si>
    <t>Lecture cookie, vérification JWT, rotation (nouveau refresh émis, ancien révoqué en DB ou champ revokedAt), retour nouvel accessToken</t>
  </si>
  <si>
    <t>POST /auth/logout : révocation refresh token + suppression cookie</t>
  </si>
  <si>
    <t>Logout endpoint</t>
  </si>
  <si>
    <t>Invalidation refresh token (champ revokedAt ou suppression), Set-Cookie refresh_token="" Max-Age=0</t>
  </si>
  <si>
    <t>JwtAuthGuard (global sauf routes publiques) + RolesGuard + décorateur @Roles()</t>
  </si>
  <si>
    <t>Guards &amp; décorateurs</t>
  </si>
  <si>
    <t>JwtAuthGuard appliqué globalement via APP_GUARD, @Public() pour /auth/*, RolesGuard vérifie req.user.role vs @Roles(Role.ADMIN), décorateur @CurrentUser()</t>
  </si>
  <si>
    <t>Sous-total Module BE-1 — Authentification JWT</t>
  </si>
  <si>
    <t>Module BE-2 — API Trajets (CRUD)</t>
  </si>
  <si>
    <t>UC-BE-ROUTES</t>
  </si>
  <si>
    <t>GET /routes?departure= : liste trajets (filtre gare pour agent, tous pour admin)</t>
  </si>
  <si>
    <t>GET routes</t>
  </si>
  <si>
    <t>Prisma findMany avec where conditionnel (role===AGENT → {departure: user.gare}), orderBy departure + departureTime</t>
  </si>
  <si>
    <t>GET /routes/:id : détail trajet</t>
  </si>
  <si>
    <t>GET route by ID</t>
  </si>
  <si>
    <t>Prisma findUniqueOrThrow, 404 NotFoundException si absent</t>
  </si>
  <si>
    <t>POST /routes + PATCH /routes/:id : création et modification (admin uniquement)</t>
  </si>
  <si>
    <t>Mutation routes</t>
  </si>
  <si>
    <t>CreateRouteDto + UpdateRouteDto (PartialType), @Roles(Role.ADMIN), validation class-validator (IsString, IsInt, IsDecimal, IsOptional)</t>
  </si>
  <si>
    <t>DELETE /routes/:id (admin uniquement)</t>
  </si>
  <si>
    <t>Prisma delete, guard @Roles(Admin), 404 si absent, 409 si des SaleItems ou Reservations existent (contrainte FK)</t>
  </si>
  <si>
    <t>Sous-total Module BE-2 — API Trajets</t>
  </si>
  <si>
    <t>Module BE-3 — API Ventes (transaction atomique)</t>
  </si>
  <si>
    <t>UC-BE-SALES</t>
  </si>
  <si>
    <t>POST /sales : transaction Prisma atomique (insert Sale+SaleItems + décrémentation seatsAvailable)</t>
  </si>
  <si>
    <t>Création vente</t>
  </si>
  <si>
    <t>prisma.$transaction([...]), pour chaque SaleItem : updateMany seatsAvailable -= qty (WHERE id=routeId AND seatsAvailable &gt;= qty), retourne erreur 409 si stock insuffisant. ID "BIL-{timestamp}".</t>
  </si>
  <si>
    <t>GET /sales?gare=&amp;date=&amp;agentId= : liste ventes paginées (20/page)</t>
  </si>
  <si>
    <t>Liste ventes</t>
  </si>
  <si>
    <t>Prisma findMany avec where dynamique, include {items: {include: {route}}}, orderBy createdAt DESC, pagination offset/limit</t>
  </si>
  <si>
    <t>GET /sales/:id : détail vente avec items</t>
  </si>
  <si>
    <t>Prisma findUniqueOrThrow avec include complet, 404 si absent</t>
  </si>
  <si>
    <t>CreateSaleDto + SaleItemDto[] : validation (IsUUID, IsInt min:1, IsEnum PaymentMethod, IsDateString)</t>
  </si>
  <si>
    <t>DTOs ventes</t>
  </si>
  <si>
    <t>DTO imbriqué avec @ValidateNested() + @Type(SaleItemDto), validation exhaustive class-validator</t>
  </si>
  <si>
    <t>Sous-total Module BE-3 — API Ventes</t>
  </si>
  <si>
    <t>Module BE-4 — API Réservations (anti-conflit, no-show, réattribution)</t>
  </si>
  <si>
    <t>UC-BE-RESERV</t>
  </si>
  <si>
    <t>POST /reservations : transaction SELECT FOR UPDATE pour verrou siège anti-conflit multi-agent</t>
  </si>
  <si>
    <t>Création réservation</t>
  </si>
  <si>
    <t>prisma.$transaction avec requête raw SQL SELECT ... FOR UPDATE : vérifie absence de réservation CONFIRMED sur (routeId, travelDate, seatNumber), INSERT reservation, décrément seatsAvailable. 409 si conflit. ID "RES-{timestamp}".</t>
  </si>
  <si>
    <t>GET /reservations?routeId=&amp;date= : liste réservations pour construction SeatMap</t>
  </si>
  <si>
    <t>Liste réservations</t>
  </si>
  <si>
    <t>Prisma findMany avec where {routeId, travelDate}, include {route, reassignedTo}, retour état siège pour buildSeatGrid</t>
  </si>
  <si>
    <t>PATCH /reservations/:id/no-show : statut NO_SHOW + libération place</t>
  </si>
  <si>
    <t>No-show</t>
  </si>
  <si>
    <t>Transaction : update status=NO_SHOW + increment seatsAvailable +1, émission événement SSE route-updated</t>
  </si>
  <si>
    <t>PATCH /reservations/:id/reassign : nouvelle réservation CONFIRMED + statut original REASSIGNED</t>
  </si>
  <si>
    <t>Transaction : update original status=REASSIGNED + create ReassignedTo, create nouvelle Reservation CONFIRMED sur même siège, pas de décrément (place déjà déduite)</t>
  </si>
  <si>
    <t>DTOs (CreateReservationDto, ReassignDto) + validation</t>
  </si>
  <si>
    <t>DTOs réservations</t>
  </si>
  <si>
    <t>IsUUID routeId, IsString seatNumber, IsDateString travelDate, IsEnum PaymentMethod, champs passager requis</t>
  </si>
  <si>
    <t>Sous-total Module BE-4 — API Réservations</t>
  </si>
  <si>
    <t>Module BE-5 — API Utilisateurs</t>
  </si>
  <si>
    <t>UC-BE-USERS</t>
  </si>
  <si>
    <t>GET /users + GET /users/:id (admin uniquement)</t>
  </si>
  <si>
    <t>Lecture utilisateurs</t>
  </si>
  <si>
    <t>findMany orderBy createdAt DESC, findUniqueOrThrow, exclusion du champ password dans le retour (Prisma select ou class-transformer @Exclude)</t>
  </si>
  <si>
    <t>POST /users : création utilisateur avec hash bcrypt (admin uniquement)</t>
  </si>
  <si>
    <t>Création utilisateur</t>
  </si>
  <si>
    <t>bcrypt.hash(password, 10), Prisma create, 409 si email déjà existant (P2002 Prisma error), retour sans password</t>
  </si>
  <si>
    <t>PATCH /users/:id + DELETE /users/:id (admin, interdiction auto-suppression)</t>
  </si>
  <si>
    <t>Modification / suppression</t>
  </si>
  <si>
    <t>PATCH : UpdateUserDto (PartialType), hash mdp si fourni. DELETE : guard req.user.id !== params.id (403 ForbiddenException), Prisma delete.</t>
  </si>
  <si>
    <t>CreateUserDto + UpdateUserDto : validation email, rôle, mot de passe (min 8 chars)</t>
  </si>
  <si>
    <t>DTOs utilisateurs</t>
  </si>
  <si>
    <t>IsEmail, IsEnum Role, IsOptional gare (requis si role===AGENT/CONTROLLER), MinLength(8) password, @Exclude password en sortie</t>
  </si>
  <si>
    <t>Sous-total Module BE-5 — API Utilisateurs</t>
  </si>
  <si>
    <t>Module BE-6 — SSE Temps réel (stock places)</t>
  </si>
  <si>
    <t>UC-BE-SSE</t>
  </si>
  <si>
    <t>Module Events NestJS + EventEmitter2 : émission interne après chaque vente/réservation/no-show</t>
  </si>
  <si>
    <t>EventEmitter2</t>
  </si>
  <si>
    <t>@nestjs/event-emitter, EventEmitter2 injecté dans SalesService + ReservationsService, événement "route.updated" avec payload {id, seatsAvailable}</t>
  </si>
  <si>
    <t>GET /events/routes : endpoint SSE @Sse() + stream Observable des mises à jour de stock</t>
  </si>
  <si>
    <t>SSE endpoint</t>
  </si>
  <si>
    <t>@Sse("/events/routes"), @JwtAuthGuard, fromEvent(eventEmitter, "route.updated").pipe(map(payload =&gt; ({data: payload}))), heartbeat 30s (interval)</t>
  </si>
  <si>
    <t>Reconnexion SSE (Last-Event-ID, retry header) + gestion déconnexion client propre</t>
  </si>
  <si>
    <t>Reconnexion SSE</t>
  </si>
  <si>
    <t>retry: 3000ms dans événement, lastEventId émis avec chaque event, cleanup subscription sur request.on("close"), log disconnect</t>
  </si>
  <si>
    <t>Sous-total Module BE-6 — SSE Temps réel</t>
  </si>
  <si>
    <t>Module BE-7 — Tests backend &amp; Documentation API</t>
  </si>
  <si>
    <t>UC-BE-TEST</t>
  </si>
  <si>
    <t>Tests E2E NestJS avec Supertest : auth (login/refresh/logout), POST /sales (transaction atomique), POST /reservations (anti-conflit)</t>
  </si>
  <si>
    <t>Tests E2E NestJS</t>
  </si>
  <si>
    <t>TestingModule NestJS, base PostgreSQL de test dédiée, scénarios : login réussi/échoué, vente avec stock insuffisant, réservation siège doublon simultané</t>
  </si>
  <si>
    <t>Documentation API Swagger/OpenAPI (@nestjs/swagger : @ApiProperty, @ApiOperation, @ApiResponse)</t>
  </si>
  <si>
    <t>Swagger</t>
  </si>
  <si>
    <t>Décorateurs sur tous les DTOs et controllers, génération automatique spec OpenAPI à /api/docs, bearer auth configuré dans Swagger UI</t>
  </si>
  <si>
    <t>Sous-total Module BE-7 — Tests backend &amp; Documentation</t>
  </si>
  <si>
    <t>TOTAL SECTION A — FRONTEND</t>
  </si>
  <si>
    <t>TOTAL SECTION B — BACKEND</t>
  </si>
  <si>
    <t>TOTAL GÉNÉRAL — DÉVELOPPEMENT (Frontend + Backend)</t>
  </si>
  <si>
    <t>CHARGES COMPLÉMENTAIRES — MAÎTRISE D'ŒUVRE</t>
  </si>
  <si>
    <t>Ratios appliqués sur le total développement. Modifier le TJM (cellule jaune) pour recalculer.</t>
  </si>
  <si>
    <t>Poste MOE</t>
  </si>
  <si>
    <t>Profil</t>
  </si>
  <si>
    <t>TJM (€)</t>
  </si>
  <si>
    <t>Ratio
(base 1 = codage)</t>
  </si>
  <si>
    <t>Total charges (j/h)</t>
  </si>
  <si>
    <t>Direction de projet</t>
  </si>
  <si>
    <t>Chef de projet</t>
  </si>
  <si>
    <t>Recette fonctionnelle</t>
  </si>
  <si>
    <t>Plan de test &amp; cas de test</t>
  </si>
  <si>
    <t>Anal. fonctionnel</t>
  </si>
  <si>
    <t>Rédaction doc technique/API</t>
  </si>
  <si>
    <t>Tech Lead</t>
  </si>
  <si>
    <t>Coordination technique</t>
  </si>
  <si>
    <t>Code review &amp; qualité</t>
  </si>
  <si>
    <t>Déploiements Docker &amp; MEP</t>
  </si>
  <si>
    <t>DevOps</t>
  </si>
  <si>
    <t>Total ratios MOE</t>
  </si>
  <si>
    <t>Total général (j/h — codage + MOE)</t>
  </si>
  <si>
    <t>BUDGET ESTIMATIF</t>
  </si>
  <si>
    <t>TJM moyen (€)</t>
  </si>
  <si>
    <t>← Modifier pour recalculer</t>
  </si>
  <si>
    <t>Total j/h chargés</t>
  </si>
  <si>
    <t>Budget HT estimé</t>
  </si>
  <si>
    <t>TVA 20 %</t>
  </si>
  <si>
    <t>Budget TTC estimé</t>
  </si>
  <si>
    <t>MACRO-PLANNING — MADARAIL POS  (12 semaines · 2 devs senior + Claude Code AI)</t>
  </si>
  <si>
    <t>Phase / Tâche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</si>
  <si>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</si>
  <si>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</si>
  <si>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</si>
  <si>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</si>
  <si>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</si>
  <si>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</si>
  <si>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</si>
  <si>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</si>
  <si>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</si>
  <si>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</si>
  <si>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</si>
  <si>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</si>
  <si>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Phase 1 — Socle technique (Frontend + Backend en parallèle)  S1–S2</t>
  </si>
  <si>
    <t xml:space="preserve">      Init NestJS + Prisma schéma + migrations + seed</t>
  </si>
  <si>
    <t xml:space="preserve">      Docker Compose (postgres + api + nginx)</t>
  </si>
  <si>
    <t xml:space="preserve">      Init React/Vite + Tailwind + AppContext + PWA setup</t>
  </si>
  <si>
    <t xml:space="preserve">      Auth JWT backend (login, refresh, logout, guards)</t>
  </si>
  <si>
    <t xml:space="preserve">      Auth frontend (page login, intercepteur Axios refresh, guards vues)</t>
  </si>
  <si>
    <t xml:space="preserve">      Layout Sidebar responsive + OfflineIndicator</t>
  </si>
  <si>
    <t>Phase 2 — API Core + POS — Caisse billets  S3–S5</t>
  </si>
  <si>
    <t xml:space="preserve">      API Trajets (GET/POST/PATCH/DELETE) + DTOs + validation</t>
  </si>
  <si>
    <t xml:space="preserve">      Couche API client Axios (services + hooks + SSE hook)</t>
  </si>
  <si>
    <t xml:space="preserve">      Catalogue POS filtré + filtres service/ligne + TrainCard</t>
  </si>
  <si>
    <t xml:space="preserve">      API Ventes (transaction Prisma atomique + décrémentation stock)</t>
  </si>
  <si>
    <t xml:space="preserve">      Panier + formulaire passager + calcul TVA + sélection Mobile Money</t>
  </si>
  <si>
    <t xml:space="preserve">      Validation POST /sales + gestion erreur 409 + confirmation</t>
  </si>
  <si>
    <t>Phase 3 — Réservation, SeatMap &amp; Temps réel  S5–S7</t>
  </si>
  <si>
    <t xml:space="preserve">      API Réservations (SELECT FOR UPDATE, no-show, reassign)</t>
  </si>
  <si>
    <t xml:space="preserve">      SeatMap composant + buildSeatGrid 3 configs (88/52/20 places)</t>
  </si>
  <si>
    <t xml:space="preserve">      Flow réservation 4 étapes + POST /reservations + erreur 409</t>
  </si>
  <si>
    <t xml:space="preserve">      SSE backend (EventEmitter2 + @Sse endpoint + heartbeat)</t>
  </si>
  <si>
    <t xml:space="preserve">      Réattribution siège (no-show → SeatMap → reassign)</t>
  </si>
  <si>
    <t>Phase 4 — Dashboard, Historique &amp; Administration  S7–S9</t>
  </si>
  <si>
    <t xml:space="preserve">      Tableau de bord (KPIs du jour, Top 5, barres Mobile Money, histogramme)</t>
  </si>
  <si>
    <t xml:space="preserve">      Historique des ventes (tableau, modal détail, export CSV)</t>
  </si>
  <si>
    <t xml:space="preserve">      API Utilisateurs (CRUD) + CRUD utilisateurs frontend</t>
  </si>
  <si>
    <t xml:space="preserve">      CRUD Trajets frontend (tableau, filtres, formulaire, suppression)</t>
  </si>
  <si>
    <t xml:space="preserve">      Bluetooth simulation (états animés, compteurs ventes/réservations)</t>
  </si>
  <si>
    <t>Phase 5 — Mode hors-ligne, Tests &amp; Documentation  S9–S11</t>
  </si>
  <si>
    <t xml:space="preserve">      PWA : SW Workbox + cache IndexedDB trajets + queue ventes offline</t>
  </si>
  <si>
    <t xml:space="preserve">      Tests E2E NestJS (Supertest : auth, transaction vente, anti-conflit)</t>
  </si>
  <si>
    <t xml:space="preserve">      Documentation Swagger/OpenAPI (@nestjs/swagger)</t>
  </si>
  <si>
    <t xml:space="preserve">      Tests unitaires Vitest + tests composants RTL (frontend)</t>
  </si>
  <si>
    <t xml:space="preserve">      Audit responsive (375/768/1280px) + accessibilité axe-core + Lighthouse</t>
  </si>
  <si>
    <t>Phase 6 — Recette fonctionnelle &amp; Mise en production  S11–S12</t>
  </si>
  <si>
    <t xml:space="preserve">      Recette fonctionnelle (scénarios POS, réservation, hors-ligne)</t>
  </si>
  <si>
    <t xml:space="preserve">      Corrections post-recette</t>
  </si>
  <si>
    <t xml:space="preserve">      Déploiement Docker production + configuration HTTPS (nginx + Certbot)</t>
  </si>
  <si>
    <t>Capacité estimée : ~3 j/h par développeur par semaine  |  Frontend : Dev 1 (spécialiste React/TypeScript)  |  Backend : Dev 2 (spécialiste NestJS/PostgreSQL)  |  Phases 5 &amp; 6 : convergence des deux 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</si>
</sst>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€&quot;"/>
  </numFmts>
  <fonts count="18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0A2341"/>
      <name val="Calibri"/>
    </font>
    <font>
      <b/>
      <sz val="11"/>
      <color rgb="FFFFFFFF"/>
      <name val="Calibri"/>
    </font>
    <font>
      <i/>
      <sz val="8"/>
      <color rgb="FF555555"/>
      <name val="Calibri"/>
    </font>
    <font>
      <b/>
      <sz val="10"/>
      <color rgb="FFB3050F"/>
      <name val="Calibri"/>
    </font>
    <font>
      <i/>
      <sz val="8"/>
      <color rgb="FF777777"/>
      <name val="Calibri"/>
    </font>
    <font>
      <b/>
      <sz val="10"/>
      <name val="Calibri"/>
    </font>
    <font>
      <b/>
      <sz val="12"/>
      <color rgb="FF0A2341"/>
      <name val="Calibri"/>
    </font>
    <font>
      <b/>
      <sz val="12"/>
      <color rgb="FFFFFFFF"/>
      <name val="Calibri"/>
    </font>
    <font>
      <b/>
      <sz val="10"/>
      <color theme="3" tint="-0.499984740745262"/>
      <name val="Calibri"/>
      <family val="2"/>
    </font>
    <font>
      <b/>
      <sz val="12"/>
      <color rgb="FFFFFFFF"/>
      <name val="Calibri"/>
      <family val="2"/>
    </font>
    <font>
      <b/>
      <sz val="9"/>
      <color rgb="FF1A4A7C"/>
      <name val="Calibri"/>
      <family val="2"/>
    </font>
    <font>
      <b/>
      <sz val="9"/>
      <color rgb="FF156921"/>
      <name val="Calibri"/>
      <family val="2"/>
    </font>
    <font>
      <b/>
      <sz val="9"/>
      <color rgb="FF7A3A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A2341"/>
      </patternFill>
    </fill>
    <fill>
      <patternFill patternType="solid">
        <fgColor rgb="FF153A5C"/>
      </patternFill>
    </fill>
    <fill>
      <patternFill patternType="solid">
        <fgColor rgb="FFF4F8FB"/>
      </patternFill>
    </fill>
    <fill>
      <patternFill patternType="solid">
        <fgColor rgb="FFFFFFFF"/>
      </patternFill>
    </fill>
    <fill>
      <patternFill patternType="solid">
        <fgColor rgb="FFD0E4F5"/>
      </patternFill>
    </fill>
    <fill>
      <patternFill patternType="solid">
        <fgColor rgb="FF1A4A7C"/>
      </patternFill>
    </fill>
    <fill>
      <patternFill patternType="solid">
        <fgColor rgb="FFD5E8D4"/>
      </patternFill>
    </fill>
    <fill>
      <patternFill patternType="solid">
        <fgColor rgb="FFB8D4EC"/>
      </patternFill>
    </fill>
    <fill>
      <patternFill patternType="solid">
        <fgColor rgb="FFB5D5B0"/>
      </patternFill>
    </fill>
    <fill>
      <patternFill patternType="solid">
        <fgColor rgb="FFE30613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1A4A6A"/>
      </patternFill>
    </fill>
    <fill>
      <patternFill patternType="solid">
        <fgColor rgb="FF156A2A"/>
      </patternFill>
    </fill>
    <fill>
      <patternFill patternType="solid">
        <fgColor rgb="FF7A3A1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156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2" fontId="3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2" fontId="3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2" fontId="2" fillId="9" borderId="2" xfId="0" applyNumberFormat="1" applyFont="1" applyFill="1" applyBorder="1" applyAlignment="1">
      <alignment horizontal="center" vertical="center"/>
    </xf>
    <xf numFmtId="2" fontId="2" fillId="10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2" fontId="2" fillId="2" borderId="2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indent="1"/>
    </xf>
    <xf numFmtId="164" fontId="8" fillId="13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/>
    <xf numFmtId="0" fontId="0" fillId="13" borderId="1" xfId="0" applyFill="1" applyBorder="1"/>
    <xf numFmtId="0" fontId="4" fillId="4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10" fillId="14" borderId="2" xfId="0" applyFont="1" applyFill="1" applyBorder="1" applyAlignment="1">
      <alignment horizontal="left" vertical="center" indent="1"/>
    </xf>
    <xf numFmtId="164" fontId="11" fillId="14" borderId="2" xfId="0" applyNumberFormat="1" applyFont="1" applyFill="1" applyBorder="1" applyAlignment="1">
      <alignment horizontal="center" vertical="center"/>
    </xf>
    <xf numFmtId="0" fontId="0" fillId="14" borderId="2" xfId="0" applyFill="1" applyBorder="1"/>
    <xf numFmtId="0" fontId="6" fillId="2" borderId="2" xfId="0" applyFont="1" applyFill="1" applyBorder="1" applyAlignment="1">
      <alignment horizontal="left" vertical="center" indent="1"/>
    </xf>
    <xf numFmtId="164" fontId="12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" fillId="3" borderId="1" xfId="0" applyFont="1" applyFill="1" applyBorder="1" applyAlignment="1">
      <alignment horizontal="left" vertical="center" indent="1"/>
    </xf>
    <xf numFmtId="0" fontId="0" fillId="0" borderId="0" xfId="0"/>
    <xf numFmtId="0" fontId="1" fillId="7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2" fillId="10" borderId="2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indent="1"/>
    </xf>
    <xf numFmtId="0" fontId="2" fillId="11" borderId="2" xfId="0" applyFont="1" applyFill="1" applyBorder="1" applyAlignment="1">
      <alignment horizontal="center" vertical="center"/>
    </xf>
    <xf numFmtId="0" fontId="0" fillId="8" borderId="1" xfId="0" applyFill="1" applyBorder="1"/>
    <xf numFmtId="0" fontId="6" fillId="11" borderId="2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1" fillId="15" borderId="1" xfId="0" applyFont="1" applyFill="1" applyBorder="1" applyAlignment="1">
      <alignment horizontal="left" vertical="center" indent="1"/>
    </xf>
    <xf numFmtId="0" fontId="1" fillId="17" borderId="1" xfId="0" applyFont="1" applyFill="1" applyBorder="1" applyAlignment="1">
      <alignment horizontal="left" vertical="center" indent="1"/>
    </xf>
    <xf numFmtId="0" fontId="7" fillId="1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16" borderId="1" xfId="0" applyFont="1" applyFill="1" applyBorder="1" applyAlignment="1">
      <alignment horizontal="left" vertical="center" indent="1"/>
    </xf>
    <xf numFmtId="0" fontId="13" fillId="18" borderId="1" xfId="0" applyFont="1" applyFill="1" applyBorder="1" applyAlignment="1">
      <alignment horizontal="left" vertical="center"/>
    </xf>
    <xf numFmtId="0" fontId="14" fillId="11" borderId="2" xfId="0" applyFont="1" applyFill="1" applyBorder="1" applyAlignment="1">
      <alignment horizontal="center" vertical="center"/>
    </xf>
    <xf numFmtId="0" fontId="0" fillId="0" borderId="0" xfId="0" applyAlignment="1"/>
    <xf numFmtId="0" fontId="15" fillId="7" borderId="1" xfId="0" applyFont="1" applyFill="1" applyBorder="1" applyAlignment="1">
      <alignment vertical="center"/>
    </xf>
    <xf numFmtId="0" fontId="16" fillId="19" borderId="1" xfId="0" applyFont="1" applyFill="1" applyBorder="1" applyAlignment="1">
      <alignment vertical="center"/>
    </xf>
    <xf numFmtId="0" fontId="17" fillId="1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A3A10"/>
      <color rgb="FF702F22"/>
      <color rgb="FF156921"/>
      <color rgb="FF1A4A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workbookViewId="0">
      <pane ySplit="1" topLeftCell="A2" activePane="bottomLeft" state="frozen"/>
      <selection pane="bottomLeft" activeCell="G88" sqref="G88"/>
    </sheetView>
  </sheetViews>
  <sheetFormatPr baseColWidth="10" defaultColWidth="8.88671875" defaultRowHeight="14.4" x14ac:dyDescent="0.3"/>
  <cols>
    <col min="1" max="1" width="12" customWidth="1"/>
    <col min="2" max="2" width="50" customWidth="1"/>
    <col min="3" max="3" width="14" customWidth="1"/>
    <col min="4" max="4" width="26" customWidth="1"/>
    <col min="5" max="5" width="54" customWidth="1"/>
    <col min="6" max="7" width="13" customWidth="1"/>
    <col min="8" max="8" width="10" customWidth="1"/>
  </cols>
  <sheetData>
    <row r="1" spans="1:8" ht="4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">
      <c r="A2" s="50" t="s">
        <v>8</v>
      </c>
      <c r="B2" s="44"/>
      <c r="C2" s="44"/>
      <c r="D2" s="44"/>
      <c r="E2" s="44"/>
      <c r="F2" s="44"/>
      <c r="G2" s="44"/>
      <c r="H2" s="44"/>
    </row>
    <row r="3" spans="1:8" ht="15" customHeight="1" x14ac:dyDescent="0.3">
      <c r="A3" s="43" t="s">
        <v>9</v>
      </c>
      <c r="B3" s="44"/>
      <c r="C3" s="44"/>
      <c r="D3" s="44"/>
      <c r="E3" s="44"/>
      <c r="F3" s="44"/>
      <c r="G3" s="44"/>
      <c r="H3" s="44"/>
    </row>
    <row r="4" spans="1:8" ht="42" customHeight="1" x14ac:dyDescent="0.3">
      <c r="A4" s="2" t="s">
        <v>10</v>
      </c>
      <c r="B4" s="3" t="s">
        <v>11</v>
      </c>
      <c r="C4" s="2" t="s">
        <v>12</v>
      </c>
      <c r="D4" s="2" t="s">
        <v>13</v>
      </c>
      <c r="E4" s="3" t="s">
        <v>14</v>
      </c>
      <c r="F4" s="4">
        <v>0.25</v>
      </c>
      <c r="G4" s="4">
        <v>0.25</v>
      </c>
      <c r="H4" s="5">
        <f>F4+G4</f>
        <v>0.5</v>
      </c>
    </row>
    <row r="5" spans="1:8" ht="42" customHeight="1" x14ac:dyDescent="0.3">
      <c r="A5" s="6" t="s">
        <v>10</v>
      </c>
      <c r="B5" s="7" t="s">
        <v>15</v>
      </c>
      <c r="C5" s="6" t="s">
        <v>12</v>
      </c>
      <c r="D5" s="6" t="s">
        <v>16</v>
      </c>
      <c r="E5" s="7" t="s">
        <v>17</v>
      </c>
      <c r="F5" s="8">
        <v>0.5</v>
      </c>
      <c r="G5" s="8">
        <v>0</v>
      </c>
      <c r="H5" s="9">
        <f>F5+G5</f>
        <v>0.5</v>
      </c>
    </row>
    <row r="6" spans="1:8" ht="42" customHeight="1" x14ac:dyDescent="0.3">
      <c r="A6" s="2" t="s">
        <v>10</v>
      </c>
      <c r="B6" s="3" t="s">
        <v>18</v>
      </c>
      <c r="C6" s="2" t="s">
        <v>12</v>
      </c>
      <c r="D6" s="2" t="s">
        <v>19</v>
      </c>
      <c r="E6" s="3" t="s">
        <v>20</v>
      </c>
      <c r="F6" s="4">
        <v>0</v>
      </c>
      <c r="G6" s="4">
        <v>0.5</v>
      </c>
      <c r="H6" s="5">
        <f>F6+G6</f>
        <v>0.5</v>
      </c>
    </row>
    <row r="7" spans="1:8" ht="42" customHeight="1" x14ac:dyDescent="0.3">
      <c r="A7" s="6" t="s">
        <v>10</v>
      </c>
      <c r="B7" s="7" t="s">
        <v>21</v>
      </c>
      <c r="C7" s="6" t="s">
        <v>12</v>
      </c>
      <c r="D7" s="6" t="s">
        <v>22</v>
      </c>
      <c r="E7" s="7" t="s">
        <v>23</v>
      </c>
      <c r="F7" s="8">
        <v>0</v>
      </c>
      <c r="G7" s="8">
        <v>0.5</v>
      </c>
      <c r="H7" s="9">
        <f>F7+G7</f>
        <v>0.5</v>
      </c>
    </row>
    <row r="8" spans="1:8" ht="15" customHeight="1" x14ac:dyDescent="0.3">
      <c r="A8" s="46" t="s">
        <v>24</v>
      </c>
      <c r="B8" s="44"/>
      <c r="C8" s="44"/>
      <c r="D8" s="44"/>
      <c r="E8" s="44"/>
      <c r="F8" s="10">
        <f>SUM(F4:F7)</f>
        <v>0.75</v>
      </c>
      <c r="G8" s="10">
        <f>SUM(G4:G7)</f>
        <v>1.25</v>
      </c>
      <c r="H8" s="10">
        <f>SUM(H4:H7)</f>
        <v>2</v>
      </c>
    </row>
    <row r="9" spans="1:8" ht="15" customHeight="1" x14ac:dyDescent="0.3">
      <c r="A9" s="43" t="s">
        <v>25</v>
      </c>
      <c r="B9" s="44"/>
      <c r="C9" s="44"/>
      <c r="D9" s="44"/>
      <c r="E9" s="44"/>
      <c r="F9" s="44"/>
      <c r="G9" s="44"/>
      <c r="H9" s="44"/>
    </row>
    <row r="10" spans="1:8" ht="42" customHeight="1" x14ac:dyDescent="0.3">
      <c r="A10" s="2" t="s">
        <v>26</v>
      </c>
      <c r="B10" s="3" t="s">
        <v>27</v>
      </c>
      <c r="C10" s="2" t="s">
        <v>28</v>
      </c>
      <c r="D10" s="2" t="s">
        <v>29</v>
      </c>
      <c r="E10" s="3" t="s">
        <v>30</v>
      </c>
      <c r="F10" s="4">
        <v>0.25</v>
      </c>
      <c r="G10" s="4">
        <v>0.25</v>
      </c>
      <c r="H10" s="5">
        <f>F10+G10</f>
        <v>0.5</v>
      </c>
    </row>
    <row r="11" spans="1:8" ht="42" customHeight="1" x14ac:dyDescent="0.3">
      <c r="A11" s="6" t="s">
        <v>26</v>
      </c>
      <c r="B11" s="7" t="s">
        <v>31</v>
      </c>
      <c r="C11" s="6" t="s">
        <v>28</v>
      </c>
      <c r="D11" s="6" t="s">
        <v>32</v>
      </c>
      <c r="E11" s="7" t="s">
        <v>33</v>
      </c>
      <c r="F11" s="8">
        <v>0</v>
      </c>
      <c r="G11" s="8">
        <v>0.75</v>
      </c>
      <c r="H11" s="9">
        <f>F11+G11</f>
        <v>0.75</v>
      </c>
    </row>
    <row r="12" spans="1:8" ht="42" customHeight="1" x14ac:dyDescent="0.3">
      <c r="A12" s="2" t="s">
        <v>26</v>
      </c>
      <c r="B12" s="3" t="s">
        <v>34</v>
      </c>
      <c r="C12" s="2" t="s">
        <v>28</v>
      </c>
      <c r="D12" s="2" t="s">
        <v>35</v>
      </c>
      <c r="E12" s="3" t="s">
        <v>36</v>
      </c>
      <c r="F12" s="4">
        <v>0</v>
      </c>
      <c r="G12" s="4">
        <v>0.25</v>
      </c>
      <c r="H12" s="5">
        <f>F12+G12</f>
        <v>0.25</v>
      </c>
    </row>
    <row r="13" spans="1:8" ht="42" customHeight="1" x14ac:dyDescent="0.3">
      <c r="A13" s="6" t="s">
        <v>26</v>
      </c>
      <c r="B13" s="7" t="s">
        <v>37</v>
      </c>
      <c r="C13" s="6" t="s">
        <v>28</v>
      </c>
      <c r="D13" s="6" t="s">
        <v>38</v>
      </c>
      <c r="E13" s="7" t="s">
        <v>39</v>
      </c>
      <c r="F13" s="8">
        <v>0</v>
      </c>
      <c r="G13" s="8">
        <v>0.25</v>
      </c>
      <c r="H13" s="9">
        <f>F13+G13</f>
        <v>0.25</v>
      </c>
    </row>
    <row r="14" spans="1:8" ht="15" customHeight="1" x14ac:dyDescent="0.3">
      <c r="A14" s="46" t="s">
        <v>40</v>
      </c>
      <c r="B14" s="44"/>
      <c r="C14" s="44"/>
      <c r="D14" s="44"/>
      <c r="E14" s="44"/>
      <c r="F14" s="10">
        <f>SUM(F10:F13)</f>
        <v>0.25</v>
      </c>
      <c r="G14" s="10">
        <f>SUM(G10:G13)</f>
        <v>1.5</v>
      </c>
      <c r="H14" s="10">
        <f>SUM(H10:H13)</f>
        <v>1.75</v>
      </c>
    </row>
    <row r="15" spans="1:8" ht="15" customHeight="1" x14ac:dyDescent="0.3">
      <c r="A15" s="43" t="s">
        <v>41</v>
      </c>
      <c r="B15" s="44"/>
      <c r="C15" s="44"/>
      <c r="D15" s="44"/>
      <c r="E15" s="44"/>
      <c r="F15" s="44"/>
      <c r="G15" s="44"/>
      <c r="H15" s="44"/>
    </row>
    <row r="16" spans="1:8" ht="42" customHeight="1" x14ac:dyDescent="0.3">
      <c r="A16" s="2" t="s">
        <v>42</v>
      </c>
      <c r="B16" s="3" t="s">
        <v>43</v>
      </c>
      <c r="C16" s="2" t="s">
        <v>44</v>
      </c>
      <c r="D16" s="2" t="s">
        <v>45</v>
      </c>
      <c r="E16" s="3" t="s">
        <v>46</v>
      </c>
      <c r="F16" s="4">
        <v>0.75</v>
      </c>
      <c r="G16" s="4">
        <v>0.25</v>
      </c>
      <c r="H16" s="5">
        <f>F16+G16</f>
        <v>1</v>
      </c>
    </row>
    <row r="17" spans="1:8" ht="42" customHeight="1" x14ac:dyDescent="0.3">
      <c r="A17" s="6" t="s">
        <v>42</v>
      </c>
      <c r="B17" s="7" t="s">
        <v>47</v>
      </c>
      <c r="C17" s="6" t="s">
        <v>44</v>
      </c>
      <c r="D17" s="6" t="s">
        <v>48</v>
      </c>
      <c r="E17" s="7" t="s">
        <v>49</v>
      </c>
      <c r="F17" s="8">
        <v>0</v>
      </c>
      <c r="G17" s="8">
        <v>0.25</v>
      </c>
      <c r="H17" s="9">
        <f>F17+G17</f>
        <v>0.25</v>
      </c>
    </row>
    <row r="18" spans="1:8" ht="42" customHeight="1" x14ac:dyDescent="0.3">
      <c r="A18" s="2" t="s">
        <v>42</v>
      </c>
      <c r="B18" s="3" t="s">
        <v>50</v>
      </c>
      <c r="C18" s="2" t="s">
        <v>44</v>
      </c>
      <c r="D18" s="2" t="s">
        <v>51</v>
      </c>
      <c r="E18" s="3" t="s">
        <v>52</v>
      </c>
      <c r="F18" s="4">
        <v>0.25</v>
      </c>
      <c r="G18" s="4">
        <v>0</v>
      </c>
      <c r="H18" s="5">
        <f>F18+G18</f>
        <v>0.25</v>
      </c>
    </row>
    <row r="19" spans="1:8" ht="15" customHeight="1" x14ac:dyDescent="0.3">
      <c r="A19" s="46" t="s">
        <v>53</v>
      </c>
      <c r="B19" s="44"/>
      <c r="C19" s="44"/>
      <c r="D19" s="44"/>
      <c r="E19" s="44"/>
      <c r="F19" s="10">
        <f>SUM(F16:F18)</f>
        <v>1</v>
      </c>
      <c r="G19" s="10">
        <f>SUM(G16:G18)</f>
        <v>0.5</v>
      </c>
      <c r="H19" s="10">
        <f>SUM(H16:H18)</f>
        <v>1.5</v>
      </c>
    </row>
    <row r="20" spans="1:8" ht="15" customHeight="1" x14ac:dyDescent="0.3">
      <c r="A20" s="43" t="s">
        <v>54</v>
      </c>
      <c r="B20" s="44"/>
      <c r="C20" s="44"/>
      <c r="D20" s="44"/>
      <c r="E20" s="44"/>
      <c r="F20" s="44"/>
      <c r="G20" s="44"/>
      <c r="H20" s="44"/>
    </row>
    <row r="21" spans="1:8" ht="42" customHeight="1" x14ac:dyDescent="0.3">
      <c r="A21" s="6" t="s">
        <v>55</v>
      </c>
      <c r="B21" s="7" t="s">
        <v>56</v>
      </c>
      <c r="C21" s="6" t="s">
        <v>12</v>
      </c>
      <c r="D21" s="6" t="s">
        <v>57</v>
      </c>
      <c r="E21" s="7" t="s">
        <v>58</v>
      </c>
      <c r="F21" s="8">
        <v>0</v>
      </c>
      <c r="G21" s="8">
        <v>0.25</v>
      </c>
      <c r="H21" s="9">
        <f>F21+G21</f>
        <v>0.25</v>
      </c>
    </row>
    <row r="22" spans="1:8" ht="42" customHeight="1" x14ac:dyDescent="0.3">
      <c r="A22" s="2" t="s">
        <v>55</v>
      </c>
      <c r="B22" s="3" t="s">
        <v>59</v>
      </c>
      <c r="C22" s="2" t="s">
        <v>12</v>
      </c>
      <c r="D22" s="2" t="s">
        <v>60</v>
      </c>
      <c r="E22" s="3" t="s">
        <v>61</v>
      </c>
      <c r="F22" s="4">
        <v>0</v>
      </c>
      <c r="G22" s="4">
        <v>0.5</v>
      </c>
      <c r="H22" s="5">
        <f>F22+G22</f>
        <v>0.5</v>
      </c>
    </row>
    <row r="23" spans="1:8" ht="42" customHeight="1" x14ac:dyDescent="0.3">
      <c r="A23" s="6" t="s">
        <v>55</v>
      </c>
      <c r="B23" s="7" t="s">
        <v>62</v>
      </c>
      <c r="C23" s="6" t="s">
        <v>12</v>
      </c>
      <c r="D23" s="6" t="s">
        <v>63</v>
      </c>
      <c r="E23" s="7" t="s">
        <v>64</v>
      </c>
      <c r="F23" s="8">
        <v>0</v>
      </c>
      <c r="G23" s="8">
        <v>0.5</v>
      </c>
      <c r="H23" s="9">
        <f>F23+G23</f>
        <v>0.5</v>
      </c>
    </row>
    <row r="24" spans="1:8" ht="42" customHeight="1" x14ac:dyDescent="0.3">
      <c r="A24" s="2" t="s">
        <v>55</v>
      </c>
      <c r="B24" s="3" t="s">
        <v>65</v>
      </c>
      <c r="C24" s="2" t="s">
        <v>12</v>
      </c>
      <c r="D24" s="2" t="s">
        <v>66</v>
      </c>
      <c r="E24" s="3" t="s">
        <v>67</v>
      </c>
      <c r="F24" s="4">
        <v>0</v>
      </c>
      <c r="G24" s="4">
        <v>0.5</v>
      </c>
      <c r="H24" s="5">
        <f>F24+G24</f>
        <v>0.5</v>
      </c>
    </row>
    <row r="25" spans="1:8" ht="15" customHeight="1" x14ac:dyDescent="0.3">
      <c r="A25" s="46" t="s">
        <v>68</v>
      </c>
      <c r="B25" s="44"/>
      <c r="C25" s="44"/>
      <c r="D25" s="44"/>
      <c r="E25" s="44"/>
      <c r="F25" s="10">
        <f>SUM(F21:F24)</f>
        <v>0</v>
      </c>
      <c r="G25" s="10">
        <f>SUM(G21:G24)</f>
        <v>1.75</v>
      </c>
      <c r="H25" s="10">
        <f>SUM(H21:H24)</f>
        <v>1.75</v>
      </c>
    </row>
    <row r="26" spans="1:8" ht="15" customHeight="1" x14ac:dyDescent="0.3">
      <c r="A26" s="43" t="s">
        <v>69</v>
      </c>
      <c r="B26" s="44"/>
      <c r="C26" s="44"/>
      <c r="D26" s="44"/>
      <c r="E26" s="44"/>
      <c r="F26" s="44"/>
      <c r="G26" s="44"/>
      <c r="H26" s="44"/>
    </row>
    <row r="27" spans="1:8" ht="42" customHeight="1" x14ac:dyDescent="0.3">
      <c r="A27" s="6" t="s">
        <v>70</v>
      </c>
      <c r="B27" s="7" t="s">
        <v>71</v>
      </c>
      <c r="C27" s="6" t="s">
        <v>72</v>
      </c>
      <c r="D27" s="6" t="s">
        <v>73</v>
      </c>
      <c r="E27" s="7" t="s">
        <v>74</v>
      </c>
      <c r="F27" s="8">
        <v>0.5</v>
      </c>
      <c r="G27" s="8">
        <v>0.5</v>
      </c>
      <c r="H27" s="9">
        <f>F27+G27</f>
        <v>1</v>
      </c>
    </row>
    <row r="28" spans="1:8" ht="42" customHeight="1" x14ac:dyDescent="0.3">
      <c r="A28" s="2" t="s">
        <v>70</v>
      </c>
      <c r="B28" s="3" t="s">
        <v>75</v>
      </c>
      <c r="C28" s="2" t="s">
        <v>72</v>
      </c>
      <c r="D28" s="2" t="s">
        <v>76</v>
      </c>
      <c r="E28" s="3" t="s">
        <v>77</v>
      </c>
      <c r="F28" s="4">
        <v>0.25</v>
      </c>
      <c r="G28" s="4">
        <v>0.25</v>
      </c>
      <c r="H28" s="5">
        <f>F28+G28</f>
        <v>0.5</v>
      </c>
    </row>
    <row r="29" spans="1:8" ht="42" customHeight="1" x14ac:dyDescent="0.3">
      <c r="A29" s="6" t="s">
        <v>70</v>
      </c>
      <c r="B29" s="7" t="s">
        <v>78</v>
      </c>
      <c r="C29" s="6" t="s">
        <v>72</v>
      </c>
      <c r="D29" s="6" t="s">
        <v>79</v>
      </c>
      <c r="E29" s="7" t="s">
        <v>80</v>
      </c>
      <c r="F29" s="8">
        <v>0.25</v>
      </c>
      <c r="G29" s="8">
        <v>0.25</v>
      </c>
      <c r="H29" s="9">
        <f>F29+G29</f>
        <v>0.5</v>
      </c>
    </row>
    <row r="30" spans="1:8" ht="42" customHeight="1" x14ac:dyDescent="0.3">
      <c r="A30" s="2" t="s">
        <v>70</v>
      </c>
      <c r="B30" s="3" t="s">
        <v>81</v>
      </c>
      <c r="C30" s="2" t="s">
        <v>72</v>
      </c>
      <c r="D30" s="2" t="s">
        <v>82</v>
      </c>
      <c r="E30" s="3" t="s">
        <v>83</v>
      </c>
      <c r="F30" s="4">
        <v>0.25</v>
      </c>
      <c r="G30" s="4">
        <v>0.25</v>
      </c>
      <c r="H30" s="5">
        <f>F30+G30</f>
        <v>0.5</v>
      </c>
    </row>
    <row r="31" spans="1:8" ht="15" customHeight="1" x14ac:dyDescent="0.3">
      <c r="A31" s="46" t="s">
        <v>84</v>
      </c>
      <c r="B31" s="44"/>
      <c r="C31" s="44"/>
      <c r="D31" s="44"/>
      <c r="E31" s="44"/>
      <c r="F31" s="10">
        <f>SUM(F27:F30)</f>
        <v>1.25</v>
      </c>
      <c r="G31" s="10">
        <f>SUM(G27:G30)</f>
        <v>1.25</v>
      </c>
      <c r="H31" s="10">
        <f>SUM(H27:H30)</f>
        <v>2.5</v>
      </c>
    </row>
    <row r="32" spans="1:8" ht="15" customHeight="1" x14ac:dyDescent="0.3">
      <c r="A32" s="43" t="s">
        <v>85</v>
      </c>
      <c r="B32" s="44"/>
      <c r="C32" s="44"/>
      <c r="D32" s="44"/>
      <c r="E32" s="44"/>
      <c r="F32" s="44"/>
      <c r="G32" s="44"/>
      <c r="H32" s="44"/>
    </row>
    <row r="33" spans="1:8" ht="42" customHeight="1" x14ac:dyDescent="0.3">
      <c r="A33" s="6" t="s">
        <v>86</v>
      </c>
      <c r="B33" s="7" t="s">
        <v>87</v>
      </c>
      <c r="C33" s="6" t="s">
        <v>88</v>
      </c>
      <c r="D33" s="6" t="s">
        <v>89</v>
      </c>
      <c r="E33" s="7" t="s">
        <v>90</v>
      </c>
      <c r="F33" s="8">
        <v>0.75</v>
      </c>
      <c r="G33" s="8">
        <v>0.25</v>
      </c>
      <c r="H33" s="9">
        <f t="shared" ref="H33:H41" si="0">F33+G33</f>
        <v>1</v>
      </c>
    </row>
    <row r="34" spans="1:8" ht="42" customHeight="1" x14ac:dyDescent="0.3">
      <c r="A34" s="2" t="s">
        <v>86</v>
      </c>
      <c r="B34" s="3" t="s">
        <v>91</v>
      </c>
      <c r="C34" s="2" t="s">
        <v>88</v>
      </c>
      <c r="D34" s="2" t="s">
        <v>92</v>
      </c>
      <c r="E34" s="3" t="s">
        <v>93</v>
      </c>
      <c r="F34" s="4">
        <v>0.5</v>
      </c>
      <c r="G34" s="4">
        <v>0.25</v>
      </c>
      <c r="H34" s="5">
        <f t="shared" si="0"/>
        <v>0.75</v>
      </c>
    </row>
    <row r="35" spans="1:8" ht="42" customHeight="1" x14ac:dyDescent="0.3">
      <c r="A35" s="6" t="s">
        <v>86</v>
      </c>
      <c r="B35" s="7" t="s">
        <v>94</v>
      </c>
      <c r="C35" s="6" t="s">
        <v>88</v>
      </c>
      <c r="D35" s="6" t="s">
        <v>95</v>
      </c>
      <c r="E35" s="7" t="s">
        <v>96</v>
      </c>
      <c r="F35" s="8">
        <v>0.5</v>
      </c>
      <c r="G35" s="8">
        <v>0.25</v>
      </c>
      <c r="H35" s="9">
        <f t="shared" si="0"/>
        <v>0.75</v>
      </c>
    </row>
    <row r="36" spans="1:8" ht="42" customHeight="1" x14ac:dyDescent="0.3">
      <c r="A36" s="2" t="s">
        <v>86</v>
      </c>
      <c r="B36" s="3" t="s">
        <v>97</v>
      </c>
      <c r="C36" s="2" t="s">
        <v>88</v>
      </c>
      <c r="D36" s="2" t="s">
        <v>98</v>
      </c>
      <c r="E36" s="3" t="s">
        <v>99</v>
      </c>
      <c r="F36" s="4">
        <v>0.25</v>
      </c>
      <c r="G36" s="4">
        <v>0.25</v>
      </c>
      <c r="H36" s="5">
        <f t="shared" si="0"/>
        <v>0.5</v>
      </c>
    </row>
    <row r="37" spans="1:8" ht="42" customHeight="1" x14ac:dyDescent="0.3">
      <c r="A37" s="6" t="s">
        <v>86</v>
      </c>
      <c r="B37" s="7" t="s">
        <v>100</v>
      </c>
      <c r="C37" s="6" t="s">
        <v>88</v>
      </c>
      <c r="D37" s="6" t="s">
        <v>101</v>
      </c>
      <c r="E37" s="7" t="s">
        <v>102</v>
      </c>
      <c r="F37" s="8">
        <v>0.5</v>
      </c>
      <c r="G37" s="8">
        <v>0.5</v>
      </c>
      <c r="H37" s="9">
        <f t="shared" si="0"/>
        <v>1</v>
      </c>
    </row>
    <row r="38" spans="1:8" ht="42" customHeight="1" x14ac:dyDescent="0.3">
      <c r="A38" s="2" t="s">
        <v>86</v>
      </c>
      <c r="B38" s="3" t="s">
        <v>103</v>
      </c>
      <c r="C38" s="2" t="s">
        <v>88</v>
      </c>
      <c r="D38" s="2" t="s">
        <v>104</v>
      </c>
      <c r="E38" s="3" t="s">
        <v>105</v>
      </c>
      <c r="F38" s="4">
        <v>0</v>
      </c>
      <c r="G38" s="4">
        <v>0.25</v>
      </c>
      <c r="H38" s="5">
        <f t="shared" si="0"/>
        <v>0.25</v>
      </c>
    </row>
    <row r="39" spans="1:8" ht="42" customHeight="1" x14ac:dyDescent="0.3">
      <c r="A39" s="6" t="s">
        <v>86</v>
      </c>
      <c r="B39" s="7" t="s">
        <v>106</v>
      </c>
      <c r="C39" s="6" t="s">
        <v>88</v>
      </c>
      <c r="D39" s="6" t="s">
        <v>107</v>
      </c>
      <c r="E39" s="7" t="s">
        <v>108</v>
      </c>
      <c r="F39" s="8">
        <v>0.25</v>
      </c>
      <c r="G39" s="8">
        <v>0</v>
      </c>
      <c r="H39" s="9">
        <f t="shared" si="0"/>
        <v>0.25</v>
      </c>
    </row>
    <row r="40" spans="1:8" ht="42" customHeight="1" x14ac:dyDescent="0.3">
      <c r="A40" s="2" t="s">
        <v>86</v>
      </c>
      <c r="B40" s="3" t="s">
        <v>109</v>
      </c>
      <c r="C40" s="2" t="s">
        <v>88</v>
      </c>
      <c r="D40" s="2" t="s">
        <v>110</v>
      </c>
      <c r="E40" s="3" t="s">
        <v>111</v>
      </c>
      <c r="F40" s="4">
        <v>0</v>
      </c>
      <c r="G40" s="4">
        <v>0.5</v>
      </c>
      <c r="H40" s="5">
        <f t="shared" si="0"/>
        <v>0.5</v>
      </c>
    </row>
    <row r="41" spans="1:8" ht="42" customHeight="1" x14ac:dyDescent="0.3">
      <c r="A41" s="6" t="s">
        <v>86</v>
      </c>
      <c r="B41" s="7" t="s">
        <v>112</v>
      </c>
      <c r="C41" s="6" t="s">
        <v>113</v>
      </c>
      <c r="D41" s="6" t="s">
        <v>114</v>
      </c>
      <c r="E41" s="7" t="s">
        <v>115</v>
      </c>
      <c r="F41" s="8">
        <v>0.25</v>
      </c>
      <c r="G41" s="8">
        <v>0.25</v>
      </c>
      <c r="H41" s="9">
        <f t="shared" si="0"/>
        <v>0.5</v>
      </c>
    </row>
    <row r="42" spans="1:8" ht="15" customHeight="1" x14ac:dyDescent="0.3">
      <c r="A42" s="46" t="s">
        <v>116</v>
      </c>
      <c r="B42" s="44"/>
      <c r="C42" s="44"/>
      <c r="D42" s="44"/>
      <c r="E42" s="44"/>
      <c r="F42" s="10">
        <f>SUM(F33:F41)</f>
        <v>3</v>
      </c>
      <c r="G42" s="10">
        <f>SUM(G33:G41)</f>
        <v>2.5</v>
      </c>
      <c r="H42" s="10">
        <f>SUM(H33:H41)</f>
        <v>5.5</v>
      </c>
    </row>
    <row r="43" spans="1:8" ht="15" customHeight="1" x14ac:dyDescent="0.3">
      <c r="A43" s="43" t="s">
        <v>117</v>
      </c>
      <c r="B43" s="44"/>
      <c r="C43" s="44"/>
      <c r="D43" s="44"/>
      <c r="E43" s="44"/>
      <c r="F43" s="44"/>
      <c r="G43" s="44"/>
      <c r="H43" s="44"/>
    </row>
    <row r="44" spans="1:8" ht="42" customHeight="1" x14ac:dyDescent="0.3">
      <c r="A44" s="2" t="s">
        <v>118</v>
      </c>
      <c r="B44" s="3" t="s">
        <v>119</v>
      </c>
      <c r="C44" s="2" t="s">
        <v>88</v>
      </c>
      <c r="D44" s="2" t="s">
        <v>120</v>
      </c>
      <c r="E44" s="3" t="s">
        <v>121</v>
      </c>
      <c r="F44" s="4">
        <v>0.5</v>
      </c>
      <c r="G44" s="4">
        <v>0.25</v>
      </c>
      <c r="H44" s="5">
        <f>F44+G44</f>
        <v>0.75</v>
      </c>
    </row>
    <row r="45" spans="1:8" ht="42" customHeight="1" x14ac:dyDescent="0.3">
      <c r="A45" s="6" t="s">
        <v>118</v>
      </c>
      <c r="B45" s="7" t="s">
        <v>122</v>
      </c>
      <c r="C45" s="6" t="s">
        <v>88</v>
      </c>
      <c r="D45" s="6" t="s">
        <v>123</v>
      </c>
      <c r="E45" s="7" t="s">
        <v>124</v>
      </c>
      <c r="F45" s="8">
        <v>0.75</v>
      </c>
      <c r="G45" s="8">
        <v>0.25</v>
      </c>
      <c r="H45" s="9">
        <f>F45+G45</f>
        <v>1</v>
      </c>
    </row>
    <row r="46" spans="1:8" ht="42" customHeight="1" x14ac:dyDescent="0.3">
      <c r="A46" s="2" t="s">
        <v>118</v>
      </c>
      <c r="B46" s="3" t="s">
        <v>125</v>
      </c>
      <c r="C46" s="2" t="s">
        <v>88</v>
      </c>
      <c r="D46" s="2" t="s">
        <v>126</v>
      </c>
      <c r="E46" s="3" t="s">
        <v>127</v>
      </c>
      <c r="F46" s="4">
        <v>0</v>
      </c>
      <c r="G46" s="4">
        <v>0.5</v>
      </c>
      <c r="H46" s="5">
        <f>F46+G46</f>
        <v>0.5</v>
      </c>
    </row>
    <row r="47" spans="1:8" ht="42" customHeight="1" x14ac:dyDescent="0.3">
      <c r="A47" s="6" t="s">
        <v>118</v>
      </c>
      <c r="B47" s="7" t="s">
        <v>128</v>
      </c>
      <c r="C47" s="6" t="s">
        <v>88</v>
      </c>
      <c r="D47" s="6" t="s">
        <v>129</v>
      </c>
      <c r="E47" s="7" t="s">
        <v>130</v>
      </c>
      <c r="F47" s="8">
        <v>0</v>
      </c>
      <c r="G47" s="8">
        <v>0.5</v>
      </c>
      <c r="H47" s="9">
        <f>F47+G47</f>
        <v>0.5</v>
      </c>
    </row>
    <row r="48" spans="1:8" ht="15" customHeight="1" x14ac:dyDescent="0.3">
      <c r="A48" s="46" t="s">
        <v>131</v>
      </c>
      <c r="B48" s="44"/>
      <c r="C48" s="44"/>
      <c r="D48" s="44"/>
      <c r="E48" s="44"/>
      <c r="F48" s="10">
        <f>SUM(F44:F47)</f>
        <v>1.25</v>
      </c>
      <c r="G48" s="10">
        <f>SUM(G44:G47)</f>
        <v>1.5</v>
      </c>
      <c r="H48" s="10">
        <f>SUM(H44:H47)</f>
        <v>2.75</v>
      </c>
    </row>
    <row r="49" spans="1:8" ht="15" customHeight="1" x14ac:dyDescent="0.3">
      <c r="A49" s="43" t="s">
        <v>132</v>
      </c>
      <c r="B49" s="44"/>
      <c r="C49" s="44"/>
      <c r="D49" s="44"/>
      <c r="E49" s="44"/>
      <c r="F49" s="44"/>
      <c r="G49" s="44"/>
      <c r="H49" s="44"/>
    </row>
    <row r="50" spans="1:8" ht="42" customHeight="1" x14ac:dyDescent="0.3">
      <c r="A50" s="2" t="s">
        <v>133</v>
      </c>
      <c r="B50" s="3" t="s">
        <v>134</v>
      </c>
      <c r="C50" s="2" t="s">
        <v>88</v>
      </c>
      <c r="D50" s="2" t="s">
        <v>135</v>
      </c>
      <c r="E50" s="3" t="s">
        <v>136</v>
      </c>
      <c r="F50" s="4">
        <v>0.25</v>
      </c>
      <c r="G50" s="4">
        <v>0.25</v>
      </c>
      <c r="H50" s="5">
        <f>F50+G50</f>
        <v>0.5</v>
      </c>
    </row>
    <row r="51" spans="1:8" ht="42" customHeight="1" x14ac:dyDescent="0.3">
      <c r="A51" s="6" t="s">
        <v>133</v>
      </c>
      <c r="B51" s="7" t="s">
        <v>137</v>
      </c>
      <c r="C51" s="6" t="s">
        <v>88</v>
      </c>
      <c r="D51" s="6" t="s">
        <v>138</v>
      </c>
      <c r="E51" s="7" t="s">
        <v>139</v>
      </c>
      <c r="F51" s="8">
        <v>0</v>
      </c>
      <c r="G51" s="8">
        <v>0.25</v>
      </c>
      <c r="H51" s="9">
        <f>F51+G51</f>
        <v>0.25</v>
      </c>
    </row>
    <row r="52" spans="1:8" ht="42" customHeight="1" x14ac:dyDescent="0.3">
      <c r="A52" s="2" t="s">
        <v>133</v>
      </c>
      <c r="B52" s="3" t="s">
        <v>140</v>
      </c>
      <c r="C52" s="2" t="s">
        <v>88</v>
      </c>
      <c r="D52" s="2" t="s">
        <v>141</v>
      </c>
      <c r="E52" s="3" t="s">
        <v>142</v>
      </c>
      <c r="F52" s="4">
        <v>0.25</v>
      </c>
      <c r="G52" s="4">
        <v>0.25</v>
      </c>
      <c r="H52" s="5">
        <f>F52+G52</f>
        <v>0.5</v>
      </c>
    </row>
    <row r="53" spans="1:8" ht="15" customHeight="1" x14ac:dyDescent="0.3">
      <c r="A53" s="46" t="s">
        <v>143</v>
      </c>
      <c r="B53" s="44"/>
      <c r="C53" s="44"/>
      <c r="D53" s="44"/>
      <c r="E53" s="44"/>
      <c r="F53" s="10">
        <f>SUM(F50:F52)</f>
        <v>0.5</v>
      </c>
      <c r="G53" s="10">
        <f>SUM(G50:G52)</f>
        <v>0.75</v>
      </c>
      <c r="H53" s="10">
        <f>SUM(H50:H52)</f>
        <v>1.25</v>
      </c>
    </row>
    <row r="54" spans="1:8" ht="15" customHeight="1" x14ac:dyDescent="0.3">
      <c r="A54" s="43" t="s">
        <v>144</v>
      </c>
      <c r="B54" s="44"/>
      <c r="C54" s="44"/>
      <c r="D54" s="44"/>
      <c r="E54" s="44"/>
      <c r="F54" s="44"/>
      <c r="G54" s="44"/>
      <c r="H54" s="44"/>
    </row>
    <row r="55" spans="1:8" ht="42" customHeight="1" x14ac:dyDescent="0.3">
      <c r="A55" s="6" t="s">
        <v>145</v>
      </c>
      <c r="B55" s="7" t="s">
        <v>146</v>
      </c>
      <c r="C55" s="6" t="s">
        <v>147</v>
      </c>
      <c r="D55" s="6" t="s">
        <v>148</v>
      </c>
      <c r="E55" s="7" t="s">
        <v>149</v>
      </c>
      <c r="F55" s="8">
        <v>0.5</v>
      </c>
      <c r="G55" s="8">
        <v>0.25</v>
      </c>
      <c r="H55" s="9">
        <f>F55+G55</f>
        <v>0.75</v>
      </c>
    </row>
    <row r="56" spans="1:8" ht="42" customHeight="1" x14ac:dyDescent="0.3">
      <c r="A56" s="2" t="s">
        <v>145</v>
      </c>
      <c r="B56" s="3" t="s">
        <v>150</v>
      </c>
      <c r="C56" s="2" t="s">
        <v>147</v>
      </c>
      <c r="D56" s="2" t="s">
        <v>151</v>
      </c>
      <c r="E56" s="3" t="s">
        <v>152</v>
      </c>
      <c r="F56" s="4">
        <v>0.25</v>
      </c>
      <c r="G56" s="4">
        <v>0.25</v>
      </c>
      <c r="H56" s="5">
        <f>F56+G56</f>
        <v>0.5</v>
      </c>
    </row>
    <row r="57" spans="1:8" ht="42" customHeight="1" x14ac:dyDescent="0.3">
      <c r="A57" s="6" t="s">
        <v>145</v>
      </c>
      <c r="B57" s="7" t="s">
        <v>153</v>
      </c>
      <c r="C57" s="6" t="s">
        <v>72</v>
      </c>
      <c r="D57" s="6" t="s">
        <v>154</v>
      </c>
      <c r="E57" s="7" t="s">
        <v>155</v>
      </c>
      <c r="F57" s="8">
        <v>0.5</v>
      </c>
      <c r="G57" s="8">
        <v>0.25</v>
      </c>
      <c r="H57" s="9">
        <f>F57+G57</f>
        <v>0.75</v>
      </c>
    </row>
    <row r="58" spans="1:8" ht="42" customHeight="1" x14ac:dyDescent="0.3">
      <c r="A58" s="2" t="s">
        <v>145</v>
      </c>
      <c r="B58" s="3" t="s">
        <v>156</v>
      </c>
      <c r="C58" s="2" t="s">
        <v>72</v>
      </c>
      <c r="D58" s="2" t="s">
        <v>157</v>
      </c>
      <c r="E58" s="3" t="s">
        <v>158</v>
      </c>
      <c r="F58" s="4">
        <v>0</v>
      </c>
      <c r="G58" s="4">
        <v>0.25</v>
      </c>
      <c r="H58" s="5">
        <f>F58+G58</f>
        <v>0.25</v>
      </c>
    </row>
    <row r="59" spans="1:8" ht="15" customHeight="1" x14ac:dyDescent="0.3">
      <c r="A59" s="46" t="s">
        <v>159</v>
      </c>
      <c r="B59" s="44"/>
      <c r="C59" s="44"/>
      <c r="D59" s="44"/>
      <c r="E59" s="44"/>
      <c r="F59" s="10">
        <f>SUM(F55:F58)</f>
        <v>1.25</v>
      </c>
      <c r="G59" s="10">
        <f>SUM(G55:G58)</f>
        <v>1</v>
      </c>
      <c r="H59" s="10">
        <f>SUM(H55:H58)</f>
        <v>2.25</v>
      </c>
    </row>
    <row r="60" spans="1:8" ht="15" customHeight="1" x14ac:dyDescent="0.3">
      <c r="A60" s="43" t="s">
        <v>160</v>
      </c>
      <c r="B60" s="44"/>
      <c r="C60" s="44"/>
      <c r="D60" s="44"/>
      <c r="E60" s="44"/>
      <c r="F60" s="44"/>
      <c r="G60" s="44"/>
      <c r="H60" s="44"/>
    </row>
    <row r="61" spans="1:8" ht="42" customHeight="1" x14ac:dyDescent="0.3">
      <c r="A61" s="6" t="s">
        <v>161</v>
      </c>
      <c r="B61" s="7" t="s">
        <v>162</v>
      </c>
      <c r="C61" s="6" t="s">
        <v>44</v>
      </c>
      <c r="D61" s="6" t="s">
        <v>163</v>
      </c>
      <c r="E61" s="7" t="s">
        <v>164</v>
      </c>
      <c r="F61" s="8">
        <v>0.25</v>
      </c>
      <c r="G61" s="8">
        <v>0.25</v>
      </c>
      <c r="H61" s="9">
        <f>F61+G61</f>
        <v>0.5</v>
      </c>
    </row>
    <row r="62" spans="1:8" ht="42" customHeight="1" x14ac:dyDescent="0.3">
      <c r="A62" s="2" t="s">
        <v>161</v>
      </c>
      <c r="B62" s="3" t="s">
        <v>165</v>
      </c>
      <c r="C62" s="2" t="s">
        <v>44</v>
      </c>
      <c r="D62" s="2" t="s">
        <v>166</v>
      </c>
      <c r="E62" s="3" t="s">
        <v>167</v>
      </c>
      <c r="F62" s="4">
        <v>0.5</v>
      </c>
      <c r="G62" s="4">
        <v>0.25</v>
      </c>
      <c r="H62" s="5">
        <f>F62+G62</f>
        <v>0.75</v>
      </c>
    </row>
    <row r="63" spans="1:8" ht="42" customHeight="1" x14ac:dyDescent="0.3">
      <c r="A63" s="6" t="s">
        <v>161</v>
      </c>
      <c r="B63" s="7" t="s">
        <v>168</v>
      </c>
      <c r="C63" s="6" t="s">
        <v>44</v>
      </c>
      <c r="D63" s="6" t="s">
        <v>169</v>
      </c>
      <c r="E63" s="7" t="s">
        <v>170</v>
      </c>
      <c r="F63" s="8">
        <v>0.25</v>
      </c>
      <c r="G63" s="8">
        <v>0.25</v>
      </c>
      <c r="H63" s="9">
        <f>F63+G63</f>
        <v>0.5</v>
      </c>
    </row>
    <row r="64" spans="1:8" ht="42" customHeight="1" x14ac:dyDescent="0.3">
      <c r="A64" s="2" t="s">
        <v>161</v>
      </c>
      <c r="B64" s="3" t="s">
        <v>171</v>
      </c>
      <c r="C64" s="2" t="s">
        <v>44</v>
      </c>
      <c r="D64" s="2" t="s">
        <v>172</v>
      </c>
      <c r="E64" s="3" t="s">
        <v>173</v>
      </c>
      <c r="F64" s="4">
        <v>0</v>
      </c>
      <c r="G64" s="4">
        <v>0.25</v>
      </c>
      <c r="H64" s="5">
        <f>F64+G64</f>
        <v>0.25</v>
      </c>
    </row>
    <row r="65" spans="1:8" ht="15" customHeight="1" x14ac:dyDescent="0.3">
      <c r="A65" s="46" t="s">
        <v>174</v>
      </c>
      <c r="B65" s="44"/>
      <c r="C65" s="44"/>
      <c r="D65" s="44"/>
      <c r="E65" s="44"/>
      <c r="F65" s="10">
        <f>SUM(F61:F64)</f>
        <v>1</v>
      </c>
      <c r="G65" s="10">
        <f>SUM(G61:G64)</f>
        <v>1</v>
      </c>
      <c r="H65" s="10">
        <f>SUM(H61:H64)</f>
        <v>2</v>
      </c>
    </row>
    <row r="66" spans="1:8" ht="15" customHeight="1" x14ac:dyDescent="0.3">
      <c r="A66" s="43" t="s">
        <v>175</v>
      </c>
      <c r="B66" s="44"/>
      <c r="C66" s="44"/>
      <c r="D66" s="44"/>
      <c r="E66" s="44"/>
      <c r="F66" s="44"/>
      <c r="G66" s="44"/>
      <c r="H66" s="44"/>
    </row>
    <row r="67" spans="1:8" ht="42" customHeight="1" x14ac:dyDescent="0.3">
      <c r="A67" s="6" t="s">
        <v>176</v>
      </c>
      <c r="B67" s="7" t="s">
        <v>177</v>
      </c>
      <c r="C67" s="6" t="s">
        <v>72</v>
      </c>
      <c r="D67" s="6" t="s">
        <v>178</v>
      </c>
      <c r="E67" s="7" t="s">
        <v>179</v>
      </c>
      <c r="F67" s="8">
        <v>0.5</v>
      </c>
      <c r="G67" s="8">
        <v>0.25</v>
      </c>
      <c r="H67" s="9">
        <f>F67+G67</f>
        <v>0.75</v>
      </c>
    </row>
    <row r="68" spans="1:8" ht="42" customHeight="1" x14ac:dyDescent="0.3">
      <c r="A68" s="2" t="s">
        <v>176</v>
      </c>
      <c r="B68" s="3" t="s">
        <v>180</v>
      </c>
      <c r="C68" s="2" t="s">
        <v>72</v>
      </c>
      <c r="D68" s="2" t="s">
        <v>181</v>
      </c>
      <c r="E68" s="3" t="s">
        <v>182</v>
      </c>
      <c r="F68" s="4">
        <v>0.25</v>
      </c>
      <c r="G68" s="4">
        <v>0.25</v>
      </c>
      <c r="H68" s="5">
        <f>F68+G68</f>
        <v>0.5</v>
      </c>
    </row>
    <row r="69" spans="1:8" ht="42" customHeight="1" x14ac:dyDescent="0.3">
      <c r="A69" s="6" t="s">
        <v>176</v>
      </c>
      <c r="B69" s="7" t="s">
        <v>183</v>
      </c>
      <c r="C69" s="6" t="s">
        <v>72</v>
      </c>
      <c r="D69" s="6" t="s">
        <v>184</v>
      </c>
      <c r="E69" s="7" t="s">
        <v>185</v>
      </c>
      <c r="F69" s="8">
        <v>0</v>
      </c>
      <c r="G69" s="8">
        <v>0.25</v>
      </c>
      <c r="H69" s="9">
        <f>F69+G69</f>
        <v>0.25</v>
      </c>
    </row>
    <row r="70" spans="1:8" ht="15" customHeight="1" x14ac:dyDescent="0.3">
      <c r="A70" s="46" t="s">
        <v>186</v>
      </c>
      <c r="B70" s="44"/>
      <c r="C70" s="44"/>
      <c r="D70" s="44"/>
      <c r="E70" s="44"/>
      <c r="F70" s="10">
        <f>SUM(F67:F69)</f>
        <v>0.75</v>
      </c>
      <c r="G70" s="10">
        <f>SUM(G67:G69)</f>
        <v>0.75</v>
      </c>
      <c r="H70" s="10">
        <f>SUM(H67:H69)</f>
        <v>1.5</v>
      </c>
    </row>
    <row r="71" spans="1:8" ht="15" customHeight="1" x14ac:dyDescent="0.3">
      <c r="A71" s="43" t="s">
        <v>187</v>
      </c>
      <c r="B71" s="44"/>
      <c r="C71" s="44"/>
      <c r="D71" s="44"/>
      <c r="E71" s="44"/>
      <c r="F71" s="44"/>
      <c r="G71" s="44"/>
      <c r="H71" s="44"/>
    </row>
    <row r="72" spans="1:8" ht="42" customHeight="1" x14ac:dyDescent="0.3">
      <c r="A72" s="2" t="s">
        <v>188</v>
      </c>
      <c r="B72" s="3" t="s">
        <v>189</v>
      </c>
      <c r="C72" s="2" t="s">
        <v>190</v>
      </c>
      <c r="D72" s="2" t="s">
        <v>191</v>
      </c>
      <c r="E72" s="3" t="s">
        <v>192</v>
      </c>
      <c r="F72" s="4">
        <v>0.5</v>
      </c>
      <c r="G72" s="4">
        <v>0.25</v>
      </c>
      <c r="H72" s="5">
        <f>F72+G72</f>
        <v>0.75</v>
      </c>
    </row>
    <row r="73" spans="1:8" ht="42" customHeight="1" x14ac:dyDescent="0.3">
      <c r="A73" s="6" t="s">
        <v>188</v>
      </c>
      <c r="B73" s="7" t="s">
        <v>193</v>
      </c>
      <c r="C73" s="6" t="s">
        <v>190</v>
      </c>
      <c r="D73" s="6" t="s">
        <v>194</v>
      </c>
      <c r="E73" s="7" t="s">
        <v>195</v>
      </c>
      <c r="F73" s="8">
        <v>0</v>
      </c>
      <c r="G73" s="8">
        <v>0.25</v>
      </c>
      <c r="H73" s="9">
        <f>F73+G73</f>
        <v>0.25</v>
      </c>
    </row>
    <row r="74" spans="1:8" ht="15" customHeight="1" x14ac:dyDescent="0.3">
      <c r="A74" s="46" t="s">
        <v>196</v>
      </c>
      <c r="B74" s="44"/>
      <c r="C74" s="44"/>
      <c r="D74" s="44"/>
      <c r="E74" s="44"/>
      <c r="F74" s="10">
        <f>SUM(F72:F73)</f>
        <v>0.5</v>
      </c>
      <c r="G74" s="10">
        <f>SUM(G72:G73)</f>
        <v>0.5</v>
      </c>
      <c r="H74" s="10">
        <f>SUM(H72:H73)</f>
        <v>1</v>
      </c>
    </row>
    <row r="75" spans="1:8" ht="15" customHeight="1" x14ac:dyDescent="0.3">
      <c r="A75" s="43" t="s">
        <v>197</v>
      </c>
      <c r="B75" s="44"/>
      <c r="C75" s="44"/>
      <c r="D75" s="44"/>
      <c r="E75" s="44"/>
      <c r="F75" s="44"/>
      <c r="G75" s="44"/>
      <c r="H75" s="44"/>
    </row>
    <row r="76" spans="1:8" ht="42" customHeight="1" x14ac:dyDescent="0.3">
      <c r="A76" s="2" t="s">
        <v>198</v>
      </c>
      <c r="B76" s="3" t="s">
        <v>199</v>
      </c>
      <c r="C76" s="2" t="s">
        <v>12</v>
      </c>
      <c r="D76" s="2" t="s">
        <v>200</v>
      </c>
      <c r="E76" s="3" t="s">
        <v>201</v>
      </c>
      <c r="F76" s="4">
        <v>0</v>
      </c>
      <c r="G76" s="4">
        <v>0.5</v>
      </c>
      <c r="H76" s="5">
        <f>F76+G76</f>
        <v>0.5</v>
      </c>
    </row>
    <row r="77" spans="1:8" ht="42" customHeight="1" x14ac:dyDescent="0.3">
      <c r="A77" s="6" t="s">
        <v>198</v>
      </c>
      <c r="B77" s="7" t="s">
        <v>202</v>
      </c>
      <c r="C77" s="6" t="s">
        <v>12</v>
      </c>
      <c r="D77" s="6" t="s">
        <v>203</v>
      </c>
      <c r="E77" s="7" t="s">
        <v>204</v>
      </c>
      <c r="F77" s="8">
        <v>0</v>
      </c>
      <c r="G77" s="8">
        <v>0.75</v>
      </c>
      <c r="H77" s="9">
        <f>F77+G77</f>
        <v>0.75</v>
      </c>
    </row>
    <row r="78" spans="1:8" ht="42" customHeight="1" x14ac:dyDescent="0.3">
      <c r="A78" s="2" t="s">
        <v>198</v>
      </c>
      <c r="B78" s="3" t="s">
        <v>205</v>
      </c>
      <c r="C78" s="2" t="s">
        <v>12</v>
      </c>
      <c r="D78" s="2" t="s">
        <v>206</v>
      </c>
      <c r="E78" s="3" t="s">
        <v>207</v>
      </c>
      <c r="F78" s="4">
        <v>0</v>
      </c>
      <c r="G78" s="4">
        <v>1</v>
      </c>
      <c r="H78" s="5">
        <f>F78+G78</f>
        <v>1</v>
      </c>
    </row>
    <row r="79" spans="1:8" ht="15" customHeight="1" x14ac:dyDescent="0.3">
      <c r="A79" s="46" t="s">
        <v>208</v>
      </c>
      <c r="B79" s="44"/>
      <c r="C79" s="44"/>
      <c r="D79" s="44"/>
      <c r="E79" s="44"/>
      <c r="F79" s="10">
        <f>SUM(F76:F78)</f>
        <v>0</v>
      </c>
      <c r="G79" s="10">
        <f>SUM(G76:G78)</f>
        <v>2.25</v>
      </c>
      <c r="H79" s="10">
        <f>SUM(H76:H78)</f>
        <v>2.25</v>
      </c>
    </row>
    <row r="80" spans="1:8" ht="15" customHeight="1" x14ac:dyDescent="0.3">
      <c r="A80" s="43" t="s">
        <v>209</v>
      </c>
      <c r="B80" s="44"/>
      <c r="C80" s="44"/>
      <c r="D80" s="44"/>
      <c r="E80" s="44"/>
      <c r="F80" s="44"/>
      <c r="G80" s="44"/>
      <c r="H80" s="44"/>
    </row>
    <row r="81" spans="1:8" ht="42" customHeight="1" x14ac:dyDescent="0.3">
      <c r="A81" s="6" t="s">
        <v>210</v>
      </c>
      <c r="B81" s="7" t="s">
        <v>211</v>
      </c>
      <c r="C81" s="6" t="s">
        <v>12</v>
      </c>
      <c r="D81" s="6" t="s">
        <v>212</v>
      </c>
      <c r="E81" s="7" t="s">
        <v>213</v>
      </c>
      <c r="F81" s="8">
        <v>0</v>
      </c>
      <c r="G81" s="8">
        <v>0.5</v>
      </c>
      <c r="H81" s="9">
        <f>F81+G81</f>
        <v>0.5</v>
      </c>
    </row>
    <row r="82" spans="1:8" ht="42" customHeight="1" x14ac:dyDescent="0.3">
      <c r="A82" s="2" t="s">
        <v>210</v>
      </c>
      <c r="B82" s="3" t="s">
        <v>214</v>
      </c>
      <c r="C82" s="2" t="s">
        <v>12</v>
      </c>
      <c r="D82" s="2" t="s">
        <v>215</v>
      </c>
      <c r="E82" s="3" t="s">
        <v>216</v>
      </c>
      <c r="F82" s="4">
        <v>0</v>
      </c>
      <c r="G82" s="4">
        <v>0.5</v>
      </c>
      <c r="H82" s="5">
        <f>F82+G82</f>
        <v>0.5</v>
      </c>
    </row>
    <row r="83" spans="1:8" ht="42" customHeight="1" x14ac:dyDescent="0.3">
      <c r="A83" s="6" t="s">
        <v>210</v>
      </c>
      <c r="B83" s="7" t="s">
        <v>217</v>
      </c>
      <c r="C83" s="6" t="s">
        <v>12</v>
      </c>
      <c r="D83" s="6" t="s">
        <v>218</v>
      </c>
      <c r="E83" s="7" t="s">
        <v>219</v>
      </c>
      <c r="F83" s="8">
        <v>0.25</v>
      </c>
      <c r="G83" s="8">
        <v>0</v>
      </c>
      <c r="H83" s="9">
        <f>F83+G83</f>
        <v>0.25</v>
      </c>
    </row>
    <row r="84" spans="1:8" ht="15" customHeight="1" x14ac:dyDescent="0.3">
      <c r="A84" s="46" t="s">
        <v>220</v>
      </c>
      <c r="B84" s="44"/>
      <c r="C84" s="44"/>
      <c r="D84" s="44"/>
      <c r="E84" s="44"/>
      <c r="F84" s="10">
        <f>SUM(F81:F83)</f>
        <v>0.25</v>
      </c>
      <c r="G84" s="10">
        <f>SUM(G81:G83)</f>
        <v>1</v>
      </c>
      <c r="H84" s="10">
        <f>SUM(H81:H83)</f>
        <v>1.25</v>
      </c>
    </row>
    <row r="85" spans="1:8" ht="18" customHeight="1" x14ac:dyDescent="0.3">
      <c r="A85" s="51" t="s">
        <v>221</v>
      </c>
      <c r="B85" s="44"/>
      <c r="C85" s="44"/>
      <c r="D85" s="44"/>
      <c r="E85" s="44"/>
      <c r="F85" s="44"/>
      <c r="G85" s="44"/>
      <c r="H85" s="44"/>
    </row>
    <row r="86" spans="1:8" ht="15" customHeight="1" x14ac:dyDescent="0.3">
      <c r="A86" s="45" t="s">
        <v>222</v>
      </c>
      <c r="B86" s="44"/>
      <c r="C86" s="44"/>
      <c r="D86" s="44"/>
      <c r="E86" s="44"/>
      <c r="F86" s="44"/>
      <c r="G86" s="44"/>
      <c r="H86" s="44"/>
    </row>
    <row r="87" spans="1:8" ht="42" customHeight="1" x14ac:dyDescent="0.3">
      <c r="A87" s="6" t="s">
        <v>223</v>
      </c>
      <c r="B87" s="7" t="s">
        <v>224</v>
      </c>
      <c r="C87" s="6" t="s">
        <v>12</v>
      </c>
      <c r="D87" s="6" t="s">
        <v>225</v>
      </c>
      <c r="E87" s="7" t="s">
        <v>226</v>
      </c>
      <c r="F87" s="8">
        <v>0</v>
      </c>
      <c r="G87" s="8">
        <v>0</v>
      </c>
      <c r="H87" s="9">
        <f>F87+G87</f>
        <v>0</v>
      </c>
    </row>
    <row r="88" spans="1:8" ht="42" customHeight="1" x14ac:dyDescent="0.3">
      <c r="A88" s="2" t="s">
        <v>223</v>
      </c>
      <c r="B88" s="3" t="s">
        <v>227</v>
      </c>
      <c r="C88" s="2" t="s">
        <v>12</v>
      </c>
      <c r="D88" s="2" t="s">
        <v>228</v>
      </c>
      <c r="E88" s="3" t="s">
        <v>229</v>
      </c>
      <c r="F88" s="4">
        <v>0</v>
      </c>
      <c r="G88" s="4">
        <v>1</v>
      </c>
      <c r="H88" s="5">
        <f>F88+G88</f>
        <v>1</v>
      </c>
    </row>
    <row r="89" spans="1:8" ht="42" customHeight="1" x14ac:dyDescent="0.3">
      <c r="A89" s="6" t="s">
        <v>223</v>
      </c>
      <c r="B89" s="7" t="s">
        <v>230</v>
      </c>
      <c r="C89" s="6" t="s">
        <v>12</v>
      </c>
      <c r="D89" s="6" t="s">
        <v>231</v>
      </c>
      <c r="E89" s="7" t="s">
        <v>232</v>
      </c>
      <c r="F89" s="8">
        <v>0</v>
      </c>
      <c r="G89" s="8">
        <v>0.5</v>
      </c>
      <c r="H89" s="9">
        <f>F89+G89</f>
        <v>0.5</v>
      </c>
    </row>
    <row r="90" spans="1:8" ht="42" customHeight="1" x14ac:dyDescent="0.3">
      <c r="A90" s="2" t="s">
        <v>223</v>
      </c>
      <c r="B90" s="3" t="s">
        <v>233</v>
      </c>
      <c r="C90" s="2" t="s">
        <v>12</v>
      </c>
      <c r="D90" s="2" t="s">
        <v>234</v>
      </c>
      <c r="E90" s="3" t="s">
        <v>235</v>
      </c>
      <c r="F90" s="4">
        <v>0</v>
      </c>
      <c r="G90" s="4">
        <v>0.75</v>
      </c>
      <c r="H90" s="5">
        <f>F90+G90</f>
        <v>0.75</v>
      </c>
    </row>
    <row r="91" spans="1:8" ht="42" customHeight="1" x14ac:dyDescent="0.3">
      <c r="A91" s="6" t="s">
        <v>223</v>
      </c>
      <c r="B91" s="7" t="s">
        <v>236</v>
      </c>
      <c r="C91" s="6" t="s">
        <v>12</v>
      </c>
      <c r="D91" s="6" t="s">
        <v>237</v>
      </c>
      <c r="E91" s="7" t="s">
        <v>238</v>
      </c>
      <c r="F91" s="8">
        <v>0</v>
      </c>
      <c r="G91" s="8">
        <v>0.5</v>
      </c>
      <c r="H91" s="9">
        <f>F91+G91</f>
        <v>0.5</v>
      </c>
    </row>
    <row r="92" spans="1:8" ht="15" customHeight="1" x14ac:dyDescent="0.3">
      <c r="A92" s="48" t="s">
        <v>239</v>
      </c>
      <c r="B92" s="44"/>
      <c r="C92" s="44"/>
      <c r="D92" s="44"/>
      <c r="E92" s="44"/>
      <c r="F92" s="11">
        <f>SUM(F87:F91)</f>
        <v>0</v>
      </c>
      <c r="G92" s="11">
        <f>SUM(G87:G91)</f>
        <v>2.75</v>
      </c>
      <c r="H92" s="11">
        <f>SUM(H87:H91)</f>
        <v>2.75</v>
      </c>
    </row>
    <row r="93" spans="1:8" ht="15" customHeight="1" x14ac:dyDescent="0.3">
      <c r="A93" s="45" t="s">
        <v>240</v>
      </c>
      <c r="B93" s="44"/>
      <c r="C93" s="44"/>
      <c r="D93" s="44"/>
      <c r="E93" s="44"/>
      <c r="F93" s="44"/>
      <c r="G93" s="44"/>
      <c r="H93" s="44"/>
    </row>
    <row r="94" spans="1:8" ht="42" customHeight="1" x14ac:dyDescent="0.3">
      <c r="A94" s="2" t="s">
        <v>241</v>
      </c>
      <c r="B94" s="3" t="s">
        <v>242</v>
      </c>
      <c r="C94" s="2" t="s">
        <v>12</v>
      </c>
      <c r="D94" s="2" t="s">
        <v>243</v>
      </c>
      <c r="E94" s="3" t="s">
        <v>244</v>
      </c>
      <c r="F94" s="4">
        <v>0</v>
      </c>
      <c r="G94" s="4">
        <v>0.75</v>
      </c>
      <c r="H94" s="5">
        <f>F94+G94</f>
        <v>0.75</v>
      </c>
    </row>
    <row r="95" spans="1:8" ht="42" customHeight="1" x14ac:dyDescent="0.3">
      <c r="A95" s="6" t="s">
        <v>241</v>
      </c>
      <c r="B95" s="7" t="s">
        <v>245</v>
      </c>
      <c r="C95" s="6" t="s">
        <v>12</v>
      </c>
      <c r="D95" s="6" t="s">
        <v>246</v>
      </c>
      <c r="E95" s="7" t="s">
        <v>247</v>
      </c>
      <c r="F95" s="8">
        <v>0</v>
      </c>
      <c r="G95" s="8">
        <v>0.75</v>
      </c>
      <c r="H95" s="9">
        <f>F95+G95</f>
        <v>0.75</v>
      </c>
    </row>
    <row r="96" spans="1:8" ht="42" customHeight="1" x14ac:dyDescent="0.3">
      <c r="A96" s="2" t="s">
        <v>241</v>
      </c>
      <c r="B96" s="3" t="s">
        <v>248</v>
      </c>
      <c r="C96" s="2" t="s">
        <v>12</v>
      </c>
      <c r="D96" s="2" t="s">
        <v>249</v>
      </c>
      <c r="E96" s="3" t="s">
        <v>250</v>
      </c>
      <c r="F96" s="4">
        <v>0</v>
      </c>
      <c r="G96" s="4">
        <v>0.75</v>
      </c>
      <c r="H96" s="5">
        <f>F96+G96</f>
        <v>0.75</v>
      </c>
    </row>
    <row r="97" spans="1:8" ht="42" customHeight="1" x14ac:dyDescent="0.3">
      <c r="A97" s="6" t="s">
        <v>241</v>
      </c>
      <c r="B97" s="7" t="s">
        <v>251</v>
      </c>
      <c r="C97" s="6" t="s">
        <v>12</v>
      </c>
      <c r="D97" s="6" t="s">
        <v>252</v>
      </c>
      <c r="E97" s="7" t="s">
        <v>253</v>
      </c>
      <c r="F97" s="8">
        <v>0</v>
      </c>
      <c r="G97" s="8">
        <v>0.25</v>
      </c>
      <c r="H97" s="9">
        <f>F97+G97</f>
        <v>0.25</v>
      </c>
    </row>
    <row r="98" spans="1:8" ht="42" customHeight="1" x14ac:dyDescent="0.3">
      <c r="A98" s="2" t="s">
        <v>241</v>
      </c>
      <c r="B98" s="3" t="s">
        <v>254</v>
      </c>
      <c r="C98" s="2" t="s">
        <v>12</v>
      </c>
      <c r="D98" s="2" t="s">
        <v>255</v>
      </c>
      <c r="E98" s="3" t="s">
        <v>256</v>
      </c>
      <c r="F98" s="4">
        <v>0</v>
      </c>
      <c r="G98" s="4">
        <v>0.5</v>
      </c>
      <c r="H98" s="5">
        <f>F98+G98</f>
        <v>0.5</v>
      </c>
    </row>
    <row r="99" spans="1:8" ht="15" customHeight="1" x14ac:dyDescent="0.3">
      <c r="A99" s="48" t="s">
        <v>257</v>
      </c>
      <c r="B99" s="44"/>
      <c r="C99" s="44"/>
      <c r="D99" s="44"/>
      <c r="E99" s="44"/>
      <c r="F99" s="11">
        <f>SUM(F94:F98)</f>
        <v>0</v>
      </c>
      <c r="G99" s="11">
        <f>SUM(G94:G98)</f>
        <v>3</v>
      </c>
      <c r="H99" s="11">
        <f>SUM(H94:H98)</f>
        <v>3</v>
      </c>
    </row>
    <row r="100" spans="1:8" ht="15" customHeight="1" x14ac:dyDescent="0.3">
      <c r="A100" s="45" t="s">
        <v>258</v>
      </c>
      <c r="B100" s="44"/>
      <c r="C100" s="44"/>
      <c r="D100" s="44"/>
      <c r="E100" s="44"/>
      <c r="F100" s="44"/>
      <c r="G100" s="44"/>
      <c r="H100" s="44"/>
    </row>
    <row r="101" spans="1:8" ht="42" customHeight="1" x14ac:dyDescent="0.3">
      <c r="A101" s="6" t="s">
        <v>259</v>
      </c>
      <c r="B101" s="7" t="s">
        <v>260</v>
      </c>
      <c r="C101" s="6" t="s">
        <v>12</v>
      </c>
      <c r="D101" s="6" t="s">
        <v>261</v>
      </c>
      <c r="E101" s="7" t="s">
        <v>262</v>
      </c>
      <c r="F101" s="8">
        <v>0</v>
      </c>
      <c r="G101" s="8">
        <v>0.5</v>
      </c>
      <c r="H101" s="9">
        <f>F101+G101</f>
        <v>0.5</v>
      </c>
    </row>
    <row r="102" spans="1:8" ht="42" customHeight="1" x14ac:dyDescent="0.3">
      <c r="A102" s="2" t="s">
        <v>259</v>
      </c>
      <c r="B102" s="3" t="s">
        <v>263</v>
      </c>
      <c r="C102" s="2" t="s">
        <v>12</v>
      </c>
      <c r="D102" s="2" t="s">
        <v>264</v>
      </c>
      <c r="E102" s="3" t="s">
        <v>265</v>
      </c>
      <c r="F102" s="4">
        <v>0</v>
      </c>
      <c r="G102" s="4">
        <v>0.25</v>
      </c>
      <c r="H102" s="5">
        <f>F102+G102</f>
        <v>0.25</v>
      </c>
    </row>
    <row r="103" spans="1:8" ht="42" customHeight="1" x14ac:dyDescent="0.3">
      <c r="A103" s="6" t="s">
        <v>259</v>
      </c>
      <c r="B103" s="7" t="s">
        <v>266</v>
      </c>
      <c r="C103" s="6" t="s">
        <v>12</v>
      </c>
      <c r="D103" s="6" t="s">
        <v>267</v>
      </c>
      <c r="E103" s="7" t="s">
        <v>268</v>
      </c>
      <c r="F103" s="8">
        <v>0</v>
      </c>
      <c r="G103" s="8">
        <v>0.5</v>
      </c>
      <c r="H103" s="9">
        <f>F103+G103</f>
        <v>0.5</v>
      </c>
    </row>
    <row r="104" spans="1:8" ht="42" customHeight="1" x14ac:dyDescent="0.3">
      <c r="A104" s="2" t="s">
        <v>259</v>
      </c>
      <c r="B104" s="3" t="s">
        <v>269</v>
      </c>
      <c r="C104" s="2" t="s">
        <v>12</v>
      </c>
      <c r="D104" s="2" t="s">
        <v>157</v>
      </c>
      <c r="E104" s="3" t="s">
        <v>270</v>
      </c>
      <c r="F104" s="4">
        <v>0</v>
      </c>
      <c r="G104" s="4">
        <v>0.25</v>
      </c>
      <c r="H104" s="5">
        <f>F104+G104</f>
        <v>0.25</v>
      </c>
    </row>
    <row r="105" spans="1:8" ht="15" customHeight="1" x14ac:dyDescent="0.3">
      <c r="A105" s="48" t="s">
        <v>271</v>
      </c>
      <c r="B105" s="44"/>
      <c r="C105" s="44"/>
      <c r="D105" s="44"/>
      <c r="E105" s="44"/>
      <c r="F105" s="11">
        <f>SUM(F101:F104)</f>
        <v>0</v>
      </c>
      <c r="G105" s="11">
        <f>SUM(G101:G104)</f>
        <v>1.5</v>
      </c>
      <c r="H105" s="11">
        <f>SUM(H101:H104)</f>
        <v>1.5</v>
      </c>
    </row>
    <row r="106" spans="1:8" ht="15" customHeight="1" x14ac:dyDescent="0.3">
      <c r="A106" s="45" t="s">
        <v>272</v>
      </c>
      <c r="B106" s="44"/>
      <c r="C106" s="44"/>
      <c r="D106" s="44"/>
      <c r="E106" s="44"/>
      <c r="F106" s="44"/>
      <c r="G106" s="44"/>
      <c r="H106" s="44"/>
    </row>
    <row r="107" spans="1:8" ht="42" customHeight="1" x14ac:dyDescent="0.3">
      <c r="A107" s="6" t="s">
        <v>273</v>
      </c>
      <c r="B107" s="7" t="s">
        <v>274</v>
      </c>
      <c r="C107" s="6" t="s">
        <v>12</v>
      </c>
      <c r="D107" s="6" t="s">
        <v>275</v>
      </c>
      <c r="E107" s="7" t="s">
        <v>276</v>
      </c>
      <c r="F107" s="8">
        <v>0</v>
      </c>
      <c r="G107" s="8">
        <v>1.25</v>
      </c>
      <c r="H107" s="9">
        <f>F107+G107</f>
        <v>1.25</v>
      </c>
    </row>
    <row r="108" spans="1:8" ht="42" customHeight="1" x14ac:dyDescent="0.3">
      <c r="A108" s="2" t="s">
        <v>273</v>
      </c>
      <c r="B108" s="3" t="s">
        <v>277</v>
      </c>
      <c r="C108" s="2" t="s">
        <v>12</v>
      </c>
      <c r="D108" s="2" t="s">
        <v>278</v>
      </c>
      <c r="E108" s="3" t="s">
        <v>279</v>
      </c>
      <c r="F108" s="4">
        <v>0</v>
      </c>
      <c r="G108" s="4">
        <v>0.5</v>
      </c>
      <c r="H108" s="5">
        <f>F108+G108</f>
        <v>0.5</v>
      </c>
    </row>
    <row r="109" spans="1:8" ht="42" customHeight="1" x14ac:dyDescent="0.3">
      <c r="A109" s="6" t="s">
        <v>273</v>
      </c>
      <c r="B109" s="7" t="s">
        <v>280</v>
      </c>
      <c r="C109" s="6" t="s">
        <v>12</v>
      </c>
      <c r="D109" s="6" t="s">
        <v>169</v>
      </c>
      <c r="E109" s="7" t="s">
        <v>281</v>
      </c>
      <c r="F109" s="8">
        <v>0</v>
      </c>
      <c r="G109" s="8">
        <v>0.25</v>
      </c>
      <c r="H109" s="9">
        <f>F109+G109</f>
        <v>0.25</v>
      </c>
    </row>
    <row r="110" spans="1:8" ht="42" customHeight="1" x14ac:dyDescent="0.3">
      <c r="A110" s="2" t="s">
        <v>273</v>
      </c>
      <c r="B110" s="3" t="s">
        <v>282</v>
      </c>
      <c r="C110" s="2" t="s">
        <v>12</v>
      </c>
      <c r="D110" s="2" t="s">
        <v>283</v>
      </c>
      <c r="E110" s="3" t="s">
        <v>284</v>
      </c>
      <c r="F110" s="4">
        <v>0</v>
      </c>
      <c r="G110" s="4">
        <v>0.25</v>
      </c>
      <c r="H110" s="5">
        <f>F110+G110</f>
        <v>0.25</v>
      </c>
    </row>
    <row r="111" spans="1:8" ht="15" customHeight="1" x14ac:dyDescent="0.3">
      <c r="A111" s="48" t="s">
        <v>285</v>
      </c>
      <c r="B111" s="44"/>
      <c r="C111" s="44"/>
      <c r="D111" s="44"/>
      <c r="E111" s="44"/>
      <c r="F111" s="11">
        <f>SUM(F107:F110)</f>
        <v>0</v>
      </c>
      <c r="G111" s="11">
        <f>SUM(G107:G110)</f>
        <v>2.25</v>
      </c>
      <c r="H111" s="11">
        <f>SUM(H107:H110)</f>
        <v>2.25</v>
      </c>
    </row>
    <row r="112" spans="1:8" ht="15" customHeight="1" x14ac:dyDescent="0.3">
      <c r="A112" s="45" t="s">
        <v>286</v>
      </c>
      <c r="B112" s="44"/>
      <c r="C112" s="44"/>
      <c r="D112" s="44"/>
      <c r="E112" s="44"/>
      <c r="F112" s="44"/>
      <c r="G112" s="44"/>
      <c r="H112" s="44"/>
    </row>
    <row r="113" spans="1:8" ht="42" customHeight="1" x14ac:dyDescent="0.3">
      <c r="A113" s="6" t="s">
        <v>287</v>
      </c>
      <c r="B113" s="7" t="s">
        <v>288</v>
      </c>
      <c r="C113" s="6" t="s">
        <v>12</v>
      </c>
      <c r="D113" s="6" t="s">
        <v>289</v>
      </c>
      <c r="E113" s="7" t="s">
        <v>290</v>
      </c>
      <c r="F113" s="8">
        <v>0</v>
      </c>
      <c r="G113" s="8">
        <v>1.25</v>
      </c>
      <c r="H113" s="9">
        <f>F113+G113</f>
        <v>1.25</v>
      </c>
    </row>
    <row r="114" spans="1:8" ht="42" customHeight="1" x14ac:dyDescent="0.3">
      <c r="A114" s="2" t="s">
        <v>287</v>
      </c>
      <c r="B114" s="3" t="s">
        <v>291</v>
      </c>
      <c r="C114" s="2" t="s">
        <v>12</v>
      </c>
      <c r="D114" s="2" t="s">
        <v>292</v>
      </c>
      <c r="E114" s="3" t="s">
        <v>293</v>
      </c>
      <c r="F114" s="4">
        <v>0</v>
      </c>
      <c r="G114" s="4">
        <v>0.5</v>
      </c>
      <c r="H114" s="5">
        <f>F114+G114</f>
        <v>0.5</v>
      </c>
    </row>
    <row r="115" spans="1:8" ht="42" customHeight="1" x14ac:dyDescent="0.3">
      <c r="A115" s="6" t="s">
        <v>287</v>
      </c>
      <c r="B115" s="7" t="s">
        <v>294</v>
      </c>
      <c r="C115" s="6" t="s">
        <v>12</v>
      </c>
      <c r="D115" s="6" t="s">
        <v>295</v>
      </c>
      <c r="E115" s="7" t="s">
        <v>296</v>
      </c>
      <c r="F115" s="8">
        <v>0</v>
      </c>
      <c r="G115" s="8">
        <v>0.25</v>
      </c>
      <c r="H115" s="9">
        <f>F115+G115</f>
        <v>0.25</v>
      </c>
    </row>
    <row r="116" spans="1:8" ht="42" customHeight="1" x14ac:dyDescent="0.3">
      <c r="A116" s="2" t="s">
        <v>287</v>
      </c>
      <c r="B116" s="3" t="s">
        <v>297</v>
      </c>
      <c r="C116" s="2" t="s">
        <v>12</v>
      </c>
      <c r="D116" s="2" t="s">
        <v>141</v>
      </c>
      <c r="E116" s="3" t="s">
        <v>298</v>
      </c>
      <c r="F116" s="4">
        <v>0</v>
      </c>
      <c r="G116" s="4">
        <v>0.5</v>
      </c>
      <c r="H116" s="5">
        <f>F116+G116</f>
        <v>0.5</v>
      </c>
    </row>
    <row r="117" spans="1:8" ht="42" customHeight="1" x14ac:dyDescent="0.3">
      <c r="A117" s="6" t="s">
        <v>287</v>
      </c>
      <c r="B117" s="7" t="s">
        <v>299</v>
      </c>
      <c r="C117" s="6" t="s">
        <v>12</v>
      </c>
      <c r="D117" s="6" t="s">
        <v>300</v>
      </c>
      <c r="E117" s="7" t="s">
        <v>301</v>
      </c>
      <c r="F117" s="8">
        <v>0</v>
      </c>
      <c r="G117" s="8">
        <v>0.25</v>
      </c>
      <c r="H117" s="9">
        <f>F117+G117</f>
        <v>0.25</v>
      </c>
    </row>
    <row r="118" spans="1:8" ht="15" customHeight="1" x14ac:dyDescent="0.3">
      <c r="A118" s="48" t="s">
        <v>302</v>
      </c>
      <c r="B118" s="44"/>
      <c r="C118" s="44"/>
      <c r="D118" s="44"/>
      <c r="E118" s="44"/>
      <c r="F118" s="11">
        <f>SUM(F113:F117)</f>
        <v>0</v>
      </c>
      <c r="G118" s="11">
        <f>SUM(G113:G117)</f>
        <v>2.75</v>
      </c>
      <c r="H118" s="11">
        <f>SUM(H113:H117)</f>
        <v>2.75</v>
      </c>
    </row>
    <row r="119" spans="1:8" ht="15" customHeight="1" x14ac:dyDescent="0.3">
      <c r="A119" s="45" t="s">
        <v>303</v>
      </c>
      <c r="B119" s="44"/>
      <c r="C119" s="44"/>
      <c r="D119" s="44"/>
      <c r="E119" s="44"/>
      <c r="F119" s="44"/>
      <c r="G119" s="44"/>
      <c r="H119" s="44"/>
    </row>
    <row r="120" spans="1:8" ht="42" customHeight="1" x14ac:dyDescent="0.3">
      <c r="A120" s="2" t="s">
        <v>304</v>
      </c>
      <c r="B120" s="3" t="s">
        <v>305</v>
      </c>
      <c r="C120" s="2" t="s">
        <v>12</v>
      </c>
      <c r="D120" s="2" t="s">
        <v>306</v>
      </c>
      <c r="E120" s="3" t="s">
        <v>307</v>
      </c>
      <c r="F120" s="4">
        <v>0</v>
      </c>
      <c r="G120" s="4">
        <v>0.25</v>
      </c>
      <c r="H120" s="5">
        <f>F120+G120</f>
        <v>0.25</v>
      </c>
    </row>
    <row r="121" spans="1:8" ht="42" customHeight="1" x14ac:dyDescent="0.3">
      <c r="A121" s="6" t="s">
        <v>304</v>
      </c>
      <c r="B121" s="7" t="s">
        <v>308</v>
      </c>
      <c r="C121" s="6" t="s">
        <v>12</v>
      </c>
      <c r="D121" s="6" t="s">
        <v>309</v>
      </c>
      <c r="E121" s="7" t="s">
        <v>310</v>
      </c>
      <c r="F121" s="8">
        <v>0</v>
      </c>
      <c r="G121" s="8">
        <v>0.5</v>
      </c>
      <c r="H121" s="9">
        <f>F121+G121</f>
        <v>0.5</v>
      </c>
    </row>
    <row r="122" spans="1:8" ht="42" customHeight="1" x14ac:dyDescent="0.3">
      <c r="A122" s="2" t="s">
        <v>304</v>
      </c>
      <c r="B122" s="3" t="s">
        <v>311</v>
      </c>
      <c r="C122" s="2" t="s">
        <v>12</v>
      </c>
      <c r="D122" s="2" t="s">
        <v>312</v>
      </c>
      <c r="E122" s="3" t="s">
        <v>313</v>
      </c>
      <c r="F122" s="4">
        <v>0</v>
      </c>
      <c r="G122" s="4">
        <v>0.5</v>
      </c>
      <c r="H122" s="5">
        <f>F122+G122</f>
        <v>0.5</v>
      </c>
    </row>
    <row r="123" spans="1:8" ht="42" customHeight="1" x14ac:dyDescent="0.3">
      <c r="A123" s="6" t="s">
        <v>304</v>
      </c>
      <c r="B123" s="7" t="s">
        <v>314</v>
      </c>
      <c r="C123" s="6" t="s">
        <v>12</v>
      </c>
      <c r="D123" s="6" t="s">
        <v>315</v>
      </c>
      <c r="E123" s="7" t="s">
        <v>316</v>
      </c>
      <c r="F123" s="8">
        <v>0</v>
      </c>
      <c r="G123" s="8">
        <v>0.25</v>
      </c>
      <c r="H123" s="9">
        <f>F123+G123</f>
        <v>0.25</v>
      </c>
    </row>
    <row r="124" spans="1:8" ht="15" customHeight="1" x14ac:dyDescent="0.3">
      <c r="A124" s="48" t="s">
        <v>317</v>
      </c>
      <c r="B124" s="44"/>
      <c r="C124" s="44"/>
      <c r="D124" s="44"/>
      <c r="E124" s="44"/>
      <c r="F124" s="11">
        <f>SUM(F120:F123)</f>
        <v>0</v>
      </c>
      <c r="G124" s="11">
        <f>SUM(G120:G123)</f>
        <v>1.5</v>
      </c>
      <c r="H124" s="11">
        <f>SUM(H120:H123)</f>
        <v>1.5</v>
      </c>
    </row>
    <row r="125" spans="1:8" ht="15" customHeight="1" x14ac:dyDescent="0.3">
      <c r="A125" s="45" t="s">
        <v>318</v>
      </c>
      <c r="B125" s="44"/>
      <c r="C125" s="44"/>
      <c r="D125" s="44"/>
      <c r="E125" s="44"/>
      <c r="F125" s="44"/>
      <c r="G125" s="44"/>
      <c r="H125" s="44"/>
    </row>
    <row r="126" spans="1:8" ht="42" customHeight="1" x14ac:dyDescent="0.3">
      <c r="A126" s="2" t="s">
        <v>319</v>
      </c>
      <c r="B126" s="3" t="s">
        <v>320</v>
      </c>
      <c r="C126" s="2" t="s">
        <v>12</v>
      </c>
      <c r="D126" s="2" t="s">
        <v>321</v>
      </c>
      <c r="E126" s="3" t="s">
        <v>322</v>
      </c>
      <c r="F126" s="4">
        <v>0</v>
      </c>
      <c r="G126" s="4">
        <v>0.5</v>
      </c>
      <c r="H126" s="5">
        <f>F126+G126</f>
        <v>0.5</v>
      </c>
    </row>
    <row r="127" spans="1:8" ht="42" customHeight="1" x14ac:dyDescent="0.3">
      <c r="A127" s="6" t="s">
        <v>319</v>
      </c>
      <c r="B127" s="7" t="s">
        <v>323</v>
      </c>
      <c r="C127" s="6" t="s">
        <v>12</v>
      </c>
      <c r="D127" s="6" t="s">
        <v>324</v>
      </c>
      <c r="E127" s="7" t="s">
        <v>325</v>
      </c>
      <c r="F127" s="8">
        <v>0</v>
      </c>
      <c r="G127" s="8">
        <v>0.5</v>
      </c>
      <c r="H127" s="9">
        <f>F127+G127</f>
        <v>0.5</v>
      </c>
    </row>
    <row r="128" spans="1:8" ht="42" customHeight="1" x14ac:dyDescent="0.3">
      <c r="A128" s="2" t="s">
        <v>319</v>
      </c>
      <c r="B128" s="3" t="s">
        <v>326</v>
      </c>
      <c r="C128" s="2" t="s">
        <v>12</v>
      </c>
      <c r="D128" s="2" t="s">
        <v>327</v>
      </c>
      <c r="E128" s="3" t="s">
        <v>328</v>
      </c>
      <c r="F128" s="4">
        <v>0</v>
      </c>
      <c r="G128" s="4">
        <v>0.25</v>
      </c>
      <c r="H128" s="5">
        <f>F128+G128</f>
        <v>0.25</v>
      </c>
    </row>
    <row r="129" spans="1:8" ht="15" customHeight="1" x14ac:dyDescent="0.3">
      <c r="A129" s="48" t="s">
        <v>329</v>
      </c>
      <c r="B129" s="44"/>
      <c r="C129" s="44"/>
      <c r="D129" s="44"/>
      <c r="E129" s="44"/>
      <c r="F129" s="11">
        <f>SUM(F126:F128)</f>
        <v>0</v>
      </c>
      <c r="G129" s="11">
        <f>SUM(G126:G128)</f>
        <v>1.25</v>
      </c>
      <c r="H129" s="11">
        <f>SUM(H126:H128)</f>
        <v>1.25</v>
      </c>
    </row>
    <row r="130" spans="1:8" ht="15" customHeight="1" x14ac:dyDescent="0.3">
      <c r="A130" s="45" t="s">
        <v>330</v>
      </c>
      <c r="B130" s="44"/>
      <c r="C130" s="44"/>
      <c r="D130" s="44"/>
      <c r="E130" s="44"/>
      <c r="F130" s="44"/>
      <c r="G130" s="44"/>
      <c r="H130" s="44"/>
    </row>
    <row r="131" spans="1:8" ht="42" customHeight="1" x14ac:dyDescent="0.3">
      <c r="A131" s="6" t="s">
        <v>331</v>
      </c>
      <c r="B131" s="7" t="s">
        <v>332</v>
      </c>
      <c r="C131" s="6" t="s">
        <v>12</v>
      </c>
      <c r="D131" s="6" t="s">
        <v>333</v>
      </c>
      <c r="E131" s="7" t="s">
        <v>334</v>
      </c>
      <c r="F131" s="8">
        <v>0</v>
      </c>
      <c r="G131" s="8">
        <v>0.5</v>
      </c>
      <c r="H131" s="9">
        <f>F131+G131</f>
        <v>0.5</v>
      </c>
    </row>
    <row r="132" spans="1:8" ht="42" customHeight="1" x14ac:dyDescent="0.3">
      <c r="A132" s="2" t="s">
        <v>331</v>
      </c>
      <c r="B132" s="3" t="s">
        <v>335</v>
      </c>
      <c r="C132" s="2" t="s">
        <v>12</v>
      </c>
      <c r="D132" s="2" t="s">
        <v>336</v>
      </c>
      <c r="E132" s="3" t="s">
        <v>337</v>
      </c>
      <c r="F132" s="4">
        <v>0</v>
      </c>
      <c r="G132" s="4">
        <v>0.5</v>
      </c>
      <c r="H132" s="5">
        <f>F132+G132</f>
        <v>0.5</v>
      </c>
    </row>
    <row r="133" spans="1:8" ht="15" customHeight="1" x14ac:dyDescent="0.3">
      <c r="A133" s="48" t="s">
        <v>338</v>
      </c>
      <c r="B133" s="44"/>
      <c r="C133" s="44"/>
      <c r="D133" s="44"/>
      <c r="E133" s="44"/>
      <c r="F133" s="11">
        <f>SUM(F131:F132)</f>
        <v>0</v>
      </c>
      <c r="G133" s="11">
        <f>SUM(G131:G132)</f>
        <v>1</v>
      </c>
      <c r="H133" s="11">
        <f>SUM(H131:H132)</f>
        <v>1</v>
      </c>
    </row>
    <row r="135" spans="1:8" ht="18" customHeight="1" x14ac:dyDescent="0.3">
      <c r="A135" s="52" t="s">
        <v>339</v>
      </c>
      <c r="B135" s="44"/>
      <c r="C135" s="44"/>
      <c r="D135" s="44"/>
      <c r="E135" s="44"/>
      <c r="F135" s="12">
        <f>F8+F14+F19+F25+F31+F42+F48+F53+F59+F65+F70+F74+F79+F84</f>
        <v>11.75</v>
      </c>
      <c r="G135" s="12">
        <f>G8+G14+G19+G25+G31+G42+G48+G53+G59+G65+G70+G74+G79+G84</f>
        <v>17.5</v>
      </c>
      <c r="H135" s="12">
        <f>H8+H14+H19+H25+H31+H42+H48+H53+H59+H65+H70+H74+H79+H84</f>
        <v>29.25</v>
      </c>
    </row>
    <row r="136" spans="1:8" ht="18" customHeight="1" x14ac:dyDescent="0.3">
      <c r="A136" s="49" t="s">
        <v>340</v>
      </c>
      <c r="B136" s="44"/>
      <c r="C136" s="44"/>
      <c r="D136" s="44"/>
      <c r="E136" s="44"/>
      <c r="F136" s="13">
        <f>F92+F99+F105+F111+F118+F124+F129+F133</f>
        <v>0</v>
      </c>
      <c r="G136" s="13">
        <f>G92+G99+G105+G111+G118+G124+G129+G133</f>
        <v>16</v>
      </c>
      <c r="H136" s="13">
        <f>H92+H99+H105+H111+H118+H124+H129+H133</f>
        <v>16</v>
      </c>
    </row>
    <row r="138" spans="1:8" ht="19.95" customHeight="1" x14ac:dyDescent="0.3">
      <c r="A138" s="47" t="s">
        <v>341</v>
      </c>
      <c r="B138" s="44"/>
      <c r="C138" s="44"/>
      <c r="D138" s="44"/>
      <c r="E138" s="44"/>
      <c r="F138" s="14">
        <f>F135+F136</f>
        <v>11.75</v>
      </c>
      <c r="G138" s="14">
        <f>G135+G136</f>
        <v>33.5</v>
      </c>
      <c r="H138" s="14">
        <f>H135+H136</f>
        <v>45.25</v>
      </c>
    </row>
  </sheetData>
  <mergeCells count="49">
    <mergeCell ref="A2:H2"/>
    <mergeCell ref="A42:E42"/>
    <mergeCell ref="A71:H71"/>
    <mergeCell ref="A85:H85"/>
    <mergeCell ref="A129:E129"/>
    <mergeCell ref="A8:E8"/>
    <mergeCell ref="A14:E14"/>
    <mergeCell ref="A32:H32"/>
    <mergeCell ref="A53:E53"/>
    <mergeCell ref="A100:H100"/>
    <mergeCell ref="A106:H106"/>
    <mergeCell ref="A20:H20"/>
    <mergeCell ref="A43:H43"/>
    <mergeCell ref="A125:H125"/>
    <mergeCell ref="A19:E19"/>
    <mergeCell ref="A112:H112"/>
    <mergeCell ref="A136:E136"/>
    <mergeCell ref="A105:E105"/>
    <mergeCell ref="A3:H3"/>
    <mergeCell ref="A26:H26"/>
    <mergeCell ref="A86:H86"/>
    <mergeCell ref="A135:E135"/>
    <mergeCell ref="A111:E111"/>
    <mergeCell ref="A31:E31"/>
    <mergeCell ref="A93:H93"/>
    <mergeCell ref="A92:E92"/>
    <mergeCell ref="A138:E138"/>
    <mergeCell ref="A60:H60"/>
    <mergeCell ref="A49:H49"/>
    <mergeCell ref="A70:E70"/>
    <mergeCell ref="A79:E79"/>
    <mergeCell ref="A119:H119"/>
    <mergeCell ref="A124:E124"/>
    <mergeCell ref="A65:E65"/>
    <mergeCell ref="A54:H54"/>
    <mergeCell ref="A99:E99"/>
    <mergeCell ref="A118:E118"/>
    <mergeCell ref="A66:H66"/>
    <mergeCell ref="A84:E84"/>
    <mergeCell ref="A133:E133"/>
    <mergeCell ref="A80:H80"/>
    <mergeCell ref="A75:H75"/>
    <mergeCell ref="A9:H9"/>
    <mergeCell ref="A130:H130"/>
    <mergeCell ref="A59:E59"/>
    <mergeCell ref="A48:E48"/>
    <mergeCell ref="A15:H15"/>
    <mergeCell ref="A25:E25"/>
    <mergeCell ref="A74:E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 activeCell="B16" sqref="B16"/>
    </sheetView>
  </sheetViews>
  <sheetFormatPr baseColWidth="10" defaultColWidth="8.88671875" defaultRowHeight="14.4" x14ac:dyDescent="0.3"/>
  <cols>
    <col min="1" max="1" width="34" customWidth="1"/>
    <col min="2" max="2" width="20" customWidth="1"/>
    <col min="3" max="3" width="12" customWidth="1"/>
    <col min="4" max="6" width="10" customWidth="1"/>
    <col min="7" max="7" width="18" customWidth="1"/>
  </cols>
  <sheetData>
    <row r="1" spans="1:7" ht="22.05" customHeight="1" x14ac:dyDescent="0.3">
      <c r="A1" s="55" t="s">
        <v>342</v>
      </c>
      <c r="B1" s="44"/>
      <c r="C1" s="44"/>
      <c r="D1" s="44"/>
      <c r="E1" s="44"/>
      <c r="F1" s="44"/>
      <c r="G1" s="44"/>
    </row>
    <row r="2" spans="1:7" ht="13.95" customHeight="1" x14ac:dyDescent="0.3">
      <c r="A2" s="56" t="s">
        <v>343</v>
      </c>
      <c r="B2" s="44"/>
      <c r="C2" s="44"/>
      <c r="D2" s="44"/>
      <c r="E2" s="44"/>
      <c r="F2" s="44"/>
      <c r="G2" s="44"/>
    </row>
    <row r="3" spans="1:7" ht="31.95" customHeight="1" x14ac:dyDescent="0.3">
      <c r="A3" s="15" t="s">
        <v>344</v>
      </c>
      <c r="B3" s="15" t="s">
        <v>345</v>
      </c>
      <c r="C3" s="15" t="s">
        <v>346</v>
      </c>
      <c r="D3" s="15" t="s">
        <v>347</v>
      </c>
      <c r="E3" s="15"/>
      <c r="F3" s="15"/>
      <c r="G3" s="15" t="s">
        <v>348</v>
      </c>
    </row>
    <row r="4" spans="1:7" x14ac:dyDescent="0.3">
      <c r="A4" s="16" t="s">
        <v>349</v>
      </c>
      <c r="B4" s="17" t="s">
        <v>350</v>
      </c>
      <c r="C4" s="18">
        <f>$B15</f>
        <v>100</v>
      </c>
      <c r="D4" s="19">
        <v>0.03</v>
      </c>
      <c r="E4" s="17"/>
      <c r="F4" s="17"/>
      <c r="G4" s="5">
        <f>D4*Backlog!H138</f>
        <v>1.3574999999999999</v>
      </c>
    </row>
    <row r="5" spans="1:7" x14ac:dyDescent="0.3">
      <c r="A5" s="20" t="s">
        <v>351</v>
      </c>
      <c r="B5" s="21" t="s">
        <v>350</v>
      </c>
      <c r="C5" s="22">
        <f>$B15</f>
        <v>100</v>
      </c>
      <c r="D5" s="23">
        <v>7.0000000000000007E-2</v>
      </c>
      <c r="E5" s="21"/>
      <c r="F5" s="21"/>
      <c r="G5" s="9">
        <f>D5*Backlog!H138</f>
        <v>3.1675000000000004</v>
      </c>
    </row>
    <row r="6" spans="1:7" x14ac:dyDescent="0.3">
      <c r="A6" s="16" t="s">
        <v>352</v>
      </c>
      <c r="B6" s="17" t="s">
        <v>353</v>
      </c>
      <c r="C6" s="18">
        <f>$B15</f>
        <v>100</v>
      </c>
      <c r="D6" s="19">
        <v>0.03</v>
      </c>
      <c r="E6" s="17"/>
      <c r="F6" s="17"/>
      <c r="G6" s="5">
        <f>D6*Backlog!H138</f>
        <v>1.3574999999999999</v>
      </c>
    </row>
    <row r="7" spans="1:7" x14ac:dyDescent="0.3">
      <c r="A7" s="20" t="s">
        <v>354</v>
      </c>
      <c r="B7" s="21" t="s">
        <v>355</v>
      </c>
      <c r="C7" s="22">
        <f>$B15</f>
        <v>100</v>
      </c>
      <c r="D7" s="23">
        <v>0.02</v>
      </c>
      <c r="E7" s="21"/>
      <c r="F7" s="21"/>
      <c r="G7" s="9">
        <f>D7*Backlog!H138</f>
        <v>0.90500000000000003</v>
      </c>
    </row>
    <row r="8" spans="1:7" x14ac:dyDescent="0.3">
      <c r="A8" s="16" t="s">
        <v>356</v>
      </c>
      <c r="B8" s="17" t="s">
        <v>355</v>
      </c>
      <c r="C8" s="18">
        <f>$B15</f>
        <v>100</v>
      </c>
      <c r="D8" s="19">
        <v>0.03</v>
      </c>
      <c r="E8" s="17"/>
      <c r="F8" s="17"/>
      <c r="G8" s="5">
        <f>D8*Backlog!H138</f>
        <v>1.3574999999999999</v>
      </c>
    </row>
    <row r="9" spans="1:7" x14ac:dyDescent="0.3">
      <c r="A9" s="20" t="s">
        <v>357</v>
      </c>
      <c r="B9" s="21" t="s">
        <v>355</v>
      </c>
      <c r="C9" s="22">
        <f>$B15</f>
        <v>100</v>
      </c>
      <c r="D9" s="23">
        <v>2.1700000000000001E-2</v>
      </c>
      <c r="E9" s="21"/>
      <c r="F9" s="21"/>
      <c r="G9" s="9">
        <f>D9*Backlog!H138</f>
        <v>0.98192500000000005</v>
      </c>
    </row>
    <row r="10" spans="1:7" x14ac:dyDescent="0.3">
      <c r="A10" s="16" t="s">
        <v>358</v>
      </c>
      <c r="B10" s="17" t="s">
        <v>359</v>
      </c>
      <c r="C10" s="18">
        <f>$B15</f>
        <v>100</v>
      </c>
      <c r="D10" s="19">
        <v>0.03</v>
      </c>
      <c r="E10" s="17"/>
      <c r="F10" s="17"/>
      <c r="G10" s="5">
        <f>D10*Backlog!H138</f>
        <v>1.3574999999999999</v>
      </c>
    </row>
    <row r="11" spans="1:7" x14ac:dyDescent="0.3">
      <c r="A11" s="48" t="s">
        <v>360</v>
      </c>
      <c r="B11" s="54"/>
      <c r="C11" s="54"/>
      <c r="D11" s="11">
        <f>SUM(D4:D10)</f>
        <v>0.23169999999999999</v>
      </c>
      <c r="E11" s="24"/>
      <c r="F11" s="24"/>
      <c r="G11" s="11">
        <f>SUM(G4:G10)</f>
        <v>10.484425</v>
      </c>
    </row>
    <row r="12" spans="1:7" x14ac:dyDescent="0.3">
      <c r="A12" s="57" t="s">
        <v>361</v>
      </c>
      <c r="B12" s="44"/>
      <c r="C12" s="44"/>
      <c r="D12" s="44"/>
      <c r="E12" s="44"/>
      <c r="F12" s="44"/>
      <c r="G12" s="25">
        <f>Backlog!H138+G11</f>
        <v>55.734425000000002</v>
      </c>
    </row>
    <row r="14" spans="1:7" ht="18" customHeight="1" x14ac:dyDescent="0.3">
      <c r="A14" s="53" t="s">
        <v>362</v>
      </c>
      <c r="B14" s="44"/>
      <c r="C14" s="44"/>
      <c r="D14" s="44"/>
      <c r="E14" s="44"/>
      <c r="F14" s="44"/>
      <c r="G14" s="44"/>
    </row>
    <row r="15" spans="1:7" x14ac:dyDescent="0.3">
      <c r="A15" s="26" t="s">
        <v>363</v>
      </c>
      <c r="B15" s="27">
        <v>100</v>
      </c>
      <c r="C15" s="28" t="s">
        <v>364</v>
      </c>
      <c r="D15" s="29"/>
      <c r="E15" s="29"/>
      <c r="F15" s="29"/>
      <c r="G15" s="29"/>
    </row>
    <row r="16" spans="1:7" x14ac:dyDescent="0.3">
      <c r="A16" s="30" t="s">
        <v>365</v>
      </c>
      <c r="B16" s="5">
        <f>G12</f>
        <v>55.734425000000002</v>
      </c>
      <c r="C16" s="31"/>
      <c r="D16" s="31"/>
      <c r="E16" s="31"/>
      <c r="F16" s="31"/>
      <c r="G16" s="31"/>
    </row>
    <row r="17" spans="1:7" ht="19.95" customHeight="1" x14ac:dyDescent="0.3">
      <c r="A17" s="32" t="s">
        <v>366</v>
      </c>
      <c r="B17" s="33">
        <f>B16*B15</f>
        <v>5573.4425000000001</v>
      </c>
      <c r="C17" s="34"/>
      <c r="D17" s="34"/>
      <c r="E17" s="34"/>
      <c r="F17" s="34"/>
      <c r="G17" s="34"/>
    </row>
    <row r="18" spans="1:7" x14ac:dyDescent="0.3">
      <c r="A18" s="16" t="s">
        <v>367</v>
      </c>
      <c r="B18" s="18">
        <f>B17*0.2</f>
        <v>1114.6885</v>
      </c>
      <c r="C18" s="31"/>
      <c r="D18" s="31"/>
      <c r="E18" s="31"/>
      <c r="F18" s="31"/>
      <c r="G18" s="31"/>
    </row>
    <row r="19" spans="1:7" ht="22.05" customHeight="1" x14ac:dyDescent="0.3">
      <c r="A19" s="35" t="s">
        <v>368</v>
      </c>
      <c r="B19" s="36">
        <f>B17+B18</f>
        <v>6688.1310000000003</v>
      </c>
      <c r="C19" s="37"/>
      <c r="D19" s="37"/>
      <c r="E19" s="37"/>
      <c r="F19" s="37"/>
      <c r="G19" s="37"/>
    </row>
  </sheetData>
  <mergeCells count="5">
    <mergeCell ref="A14:G14"/>
    <mergeCell ref="A11:C11"/>
    <mergeCell ref="A1:G1"/>
    <mergeCell ref="A2:G2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workbookViewId="0">
      <pane xSplit="1" ySplit="2" topLeftCell="B4" activePane="bottomRight" state="frozen"/>
      <selection pane="topRight"/>
      <selection pane="bottomLeft"/>
      <selection pane="bottomRight" activeCell="P38" sqref="P38"/>
    </sheetView>
  </sheetViews>
  <sheetFormatPr baseColWidth="10" defaultColWidth="8.88671875" defaultRowHeight="14.4" x14ac:dyDescent="0.3"/>
  <cols>
    <col min="1" max="1" width="60" customWidth="1"/>
    <col min="2" max="6" width="7.6640625" bestFit="1" customWidth="1"/>
    <col min="7" max="13" width="5.77734375" bestFit="1" customWidth="1"/>
  </cols>
  <sheetData>
    <row r="1" spans="1:13" ht="25.95" customHeight="1" x14ac:dyDescent="0.3">
      <c r="A1" s="64" t="s">
        <v>369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16.05" customHeight="1" x14ac:dyDescent="0.3">
      <c r="A2" s="38" t="s">
        <v>370</v>
      </c>
      <c r="B2" s="39" t="s">
        <v>371</v>
      </c>
      <c r="C2" s="39" t="s">
        <v>372</v>
      </c>
      <c r="D2" s="39" t="s">
        <v>373</v>
      </c>
      <c r="E2" s="39" t="s">
        <v>374</v>
      </c>
      <c r="F2" s="39" t="s">
        <v>375</v>
      </c>
      <c r="G2" s="39" t="s">
        <v>376</v>
      </c>
      <c r="H2" s="39" t="s">
        <v>377</v>
      </c>
      <c r="I2" s="39" t="s">
        <v>378</v>
      </c>
      <c r="J2" s="39" t="s">
        <v>379</v>
      </c>
      <c r="K2" s="39" t="s">
        <v>380</v>
      </c>
      <c r="L2" s="39" t="s">
        <v>381</v>
      </c>
      <c r="M2" s="39" t="s">
        <v>382</v>
      </c>
    </row>
    <row r="3" spans="1:13" ht="15" customHeight="1" x14ac:dyDescent="0.3">
      <c r="A3" s="61" t="s">
        <v>383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ht="13.95" customHeight="1" x14ac:dyDescent="0.3">
      <c r="A4" s="40" t="s">
        <v>384</v>
      </c>
      <c r="B4" s="63" t="str">
        <f>REPT("█",5)</f>
        <v>█████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ht="13.95" customHeight="1" x14ac:dyDescent="0.3">
      <c r="A5" s="41" t="s">
        <v>385</v>
      </c>
      <c r="B5" s="63" t="str">
        <f>REPT("█",5)</f>
        <v>█████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ht="13.95" customHeight="1" x14ac:dyDescent="0.3">
      <c r="A6" s="40" t="s">
        <v>386</v>
      </c>
      <c r="B6" s="63" t="str">
        <f>REPT("█",5)</f>
        <v>█████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ht="13.95" customHeight="1" x14ac:dyDescent="0.3">
      <c r="A7" s="41" t="s">
        <v>387</v>
      </c>
      <c r="B7" s="63" t="str">
        <f>REPT("█",5)</f>
        <v>█████</v>
      </c>
      <c r="C7" s="63" t="str">
        <f>REPT("█",5)</f>
        <v>█████</v>
      </c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ht="13.95" customHeight="1" x14ac:dyDescent="0.3">
      <c r="A8" s="40" t="s">
        <v>388</v>
      </c>
      <c r="B8" s="31"/>
      <c r="C8" s="63" t="str">
        <f>REPT("█",5)</f>
        <v>█████</v>
      </c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 ht="13.95" customHeight="1" x14ac:dyDescent="0.3">
      <c r="A9" s="41" t="s">
        <v>389</v>
      </c>
      <c r="B9" s="42"/>
      <c r="C9" s="63" t="str">
        <f>REPT("█",5)</f>
        <v>█████</v>
      </c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ht="15" customHeight="1" x14ac:dyDescent="0.3">
      <c r="A10" s="43" t="s">
        <v>390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</row>
    <row r="11" spans="1:13" ht="13.95" customHeight="1" x14ac:dyDescent="0.3">
      <c r="A11" s="41" t="s">
        <v>391</v>
      </c>
      <c r="B11" s="42"/>
      <c r="C11" s="42"/>
      <c r="D11" s="63" t="str">
        <f>REPT("█",5)</f>
        <v>█████</v>
      </c>
      <c r="E11" s="42"/>
      <c r="F11" s="42"/>
      <c r="G11" s="42"/>
      <c r="H11" s="42"/>
      <c r="I11" s="42"/>
      <c r="J11" s="42"/>
      <c r="K11" s="42"/>
      <c r="L11" s="42"/>
      <c r="M11" s="42"/>
    </row>
    <row r="12" spans="1:13" ht="13.95" customHeight="1" x14ac:dyDescent="0.3">
      <c r="A12" s="40" t="s">
        <v>392</v>
      </c>
      <c r="B12" s="31"/>
      <c r="C12" s="31"/>
      <c r="D12" s="63" t="str">
        <f>REPT("█",5)</f>
        <v>█████</v>
      </c>
      <c r="E12" s="31"/>
      <c r="F12" s="31"/>
      <c r="G12" s="31"/>
      <c r="H12" s="31"/>
      <c r="I12" s="31"/>
      <c r="J12" s="31"/>
      <c r="K12" s="31"/>
      <c r="L12" s="31"/>
      <c r="M12" s="31"/>
    </row>
    <row r="13" spans="1:13" ht="13.95" customHeight="1" x14ac:dyDescent="0.3">
      <c r="A13" s="41" t="s">
        <v>393</v>
      </c>
      <c r="B13" s="42"/>
      <c r="C13" s="42"/>
      <c r="D13" s="63" t="str">
        <f>REPT("█",5)</f>
        <v>█████</v>
      </c>
      <c r="E13" s="63" t="str">
        <f>REPT("█",5)</f>
        <v>█████</v>
      </c>
      <c r="F13" s="42"/>
      <c r="G13" s="42"/>
      <c r="H13" s="42"/>
      <c r="I13" s="42"/>
      <c r="J13" s="42"/>
      <c r="K13" s="42"/>
      <c r="L13" s="42"/>
      <c r="M13" s="42"/>
    </row>
    <row r="14" spans="1:13" ht="13.95" customHeight="1" x14ac:dyDescent="0.3">
      <c r="A14" s="40" t="s">
        <v>394</v>
      </c>
      <c r="B14" s="31"/>
      <c r="C14" s="31"/>
      <c r="D14" s="31"/>
      <c r="E14" s="63" t="str">
        <f>REPT("█",5)</f>
        <v>█████</v>
      </c>
      <c r="F14" s="31"/>
      <c r="G14" s="31"/>
      <c r="H14" s="31"/>
      <c r="I14" s="31"/>
      <c r="J14" s="31"/>
      <c r="K14" s="31"/>
      <c r="L14" s="31"/>
      <c r="M14" s="31"/>
    </row>
    <row r="15" spans="1:13" ht="13.95" customHeight="1" x14ac:dyDescent="0.3">
      <c r="A15" s="41" t="s">
        <v>395</v>
      </c>
      <c r="B15" s="42"/>
      <c r="C15" s="42"/>
      <c r="D15" s="42"/>
      <c r="E15" s="63" t="str">
        <f>REPT("█",5)</f>
        <v>█████</v>
      </c>
      <c r="F15" s="63" t="str">
        <f>REPT("█",5)</f>
        <v>█████</v>
      </c>
      <c r="G15" s="42"/>
      <c r="H15" s="42"/>
      <c r="I15" s="42"/>
      <c r="J15" s="42"/>
      <c r="K15" s="42"/>
      <c r="L15" s="42"/>
      <c r="M15" s="42"/>
    </row>
    <row r="16" spans="1:13" ht="13.95" customHeight="1" x14ac:dyDescent="0.3">
      <c r="A16" s="40" t="s">
        <v>396</v>
      </c>
      <c r="B16" s="31"/>
      <c r="C16" s="31"/>
      <c r="D16" s="31"/>
      <c r="E16" s="31"/>
      <c r="F16" s="63" t="str">
        <f>REPT("█",5)</f>
        <v>█████</v>
      </c>
      <c r="G16" s="31"/>
      <c r="H16" s="31"/>
      <c r="I16" s="31"/>
      <c r="J16" s="31"/>
      <c r="K16" s="31"/>
      <c r="L16" s="31"/>
      <c r="M16" s="31"/>
    </row>
    <row r="17" spans="1:28" ht="15" customHeight="1" x14ac:dyDescent="0.3">
      <c r="A17" s="45" t="s">
        <v>397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</row>
    <row r="18" spans="1:28" ht="13.95" customHeight="1" x14ac:dyDescent="0.3">
      <c r="A18" s="40" t="s">
        <v>398</v>
      </c>
      <c r="B18" s="31"/>
      <c r="C18" s="31"/>
      <c r="D18" s="31"/>
      <c r="E18" s="31"/>
      <c r="F18" s="66" t="str">
        <f>REPT("█",5)</f>
        <v>█████</v>
      </c>
      <c r="G18" s="66" t="str">
        <f>REPT("█",5)</f>
        <v>█████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</row>
    <row r="19" spans="1:28" ht="13.95" customHeight="1" x14ac:dyDescent="0.3">
      <c r="A19" s="41" t="s">
        <v>399</v>
      </c>
      <c r="B19" s="42"/>
      <c r="C19" s="42"/>
      <c r="D19" s="42"/>
      <c r="E19" s="42"/>
      <c r="F19" s="66" t="str">
        <f>REPT("█",5)</f>
        <v>█████</v>
      </c>
      <c r="G19" s="66" t="str">
        <f>REPT("█",5)</f>
        <v>█████</v>
      </c>
      <c r="H19" s="42"/>
      <c r="I19" s="42"/>
      <c r="J19" s="42"/>
      <c r="K19" s="42"/>
      <c r="L19" s="42"/>
      <c r="M19" s="42"/>
    </row>
    <row r="20" spans="1:28" ht="13.95" customHeight="1" x14ac:dyDescent="0.3">
      <c r="A20" s="40" t="s">
        <v>400</v>
      </c>
      <c r="B20" s="31"/>
      <c r="C20" s="31"/>
      <c r="D20" s="31"/>
      <c r="E20" s="31"/>
      <c r="F20" s="31"/>
      <c r="G20" s="66" t="str">
        <f>REPT("█",5)</f>
        <v>█████</v>
      </c>
      <c r="H20" s="31"/>
      <c r="I20" s="31"/>
      <c r="J20" s="31"/>
      <c r="K20" s="31"/>
      <c r="L20" s="31"/>
      <c r="M20" s="31"/>
    </row>
    <row r="21" spans="1:28" ht="13.95" customHeight="1" x14ac:dyDescent="0.3">
      <c r="A21" s="41" t="s">
        <v>401</v>
      </c>
      <c r="B21" s="42"/>
      <c r="C21" s="42"/>
      <c r="D21" s="42"/>
      <c r="E21" s="42"/>
      <c r="F21" s="42"/>
      <c r="G21" s="66" t="str">
        <f>REPT("█",5)</f>
        <v>█████</v>
      </c>
      <c r="H21" s="66" t="str">
        <f>REPT("█",5)</f>
        <v>█████</v>
      </c>
      <c r="I21" s="42"/>
      <c r="J21" s="42"/>
      <c r="K21" s="42"/>
      <c r="L21" s="42"/>
      <c r="M21" s="42"/>
    </row>
    <row r="22" spans="1:28" ht="13.95" customHeight="1" x14ac:dyDescent="0.3">
      <c r="A22" s="40" t="s">
        <v>402</v>
      </c>
      <c r="B22" s="31"/>
      <c r="C22" s="31"/>
      <c r="D22" s="31"/>
      <c r="E22" s="31"/>
      <c r="F22" s="31"/>
      <c r="G22" s="31"/>
      <c r="H22" s="66" t="str">
        <f>REPT("█",5)</f>
        <v>█████</v>
      </c>
      <c r="I22" s="31"/>
      <c r="J22" s="31"/>
      <c r="K22" s="31"/>
      <c r="L22" s="31"/>
      <c r="M22" s="31"/>
    </row>
    <row r="23" spans="1:28" ht="15" customHeight="1" x14ac:dyDescent="0.3">
      <c r="A23" s="58" t="s">
        <v>403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1:28" ht="13.95" customHeight="1" x14ac:dyDescent="0.3">
      <c r="A24" s="40" t="s">
        <v>404</v>
      </c>
      <c r="B24" s="31"/>
      <c r="C24" s="31"/>
      <c r="D24" s="31"/>
      <c r="E24" s="31"/>
      <c r="F24" s="31"/>
      <c r="G24" s="31"/>
      <c r="H24" s="66" t="str">
        <f>REPT("█",5)</f>
        <v>█████</v>
      </c>
      <c r="I24" s="66" t="str">
        <f>REPT("█",5)</f>
        <v>█████</v>
      </c>
      <c r="J24" s="31"/>
      <c r="K24" s="31"/>
      <c r="L24" s="31"/>
      <c r="M24" s="31"/>
    </row>
    <row r="25" spans="1:28" ht="13.95" customHeight="1" x14ac:dyDescent="0.3">
      <c r="A25" s="41" t="s">
        <v>405</v>
      </c>
      <c r="B25" s="42"/>
      <c r="C25" s="42"/>
      <c r="D25" s="42"/>
      <c r="E25" s="42"/>
      <c r="F25" s="42"/>
      <c r="G25" s="42"/>
      <c r="H25" s="42"/>
      <c r="I25" s="66" t="str">
        <f>REPT("█",5)</f>
        <v>█████</v>
      </c>
      <c r="J25" s="42"/>
      <c r="K25" s="42"/>
      <c r="L25" s="42"/>
      <c r="M25" s="42"/>
    </row>
    <row r="26" spans="1:28" ht="13.95" customHeight="1" x14ac:dyDescent="0.3">
      <c r="A26" s="40" t="s">
        <v>406</v>
      </c>
      <c r="B26" s="31"/>
      <c r="C26" s="31"/>
      <c r="D26" s="31"/>
      <c r="E26" s="31"/>
      <c r="F26" s="31"/>
      <c r="G26" s="31"/>
      <c r="H26" s="31"/>
      <c r="I26" s="66" t="str">
        <f>REPT("█",5)</f>
        <v>█████</v>
      </c>
      <c r="J26" s="66" t="str">
        <f>REPT("█",5)</f>
        <v>█████</v>
      </c>
      <c r="K26" s="31"/>
      <c r="L26" s="31"/>
      <c r="M26" s="31"/>
    </row>
    <row r="27" spans="1:28" ht="13.95" customHeight="1" x14ac:dyDescent="0.3">
      <c r="A27" s="41" t="s">
        <v>407</v>
      </c>
      <c r="B27" s="42"/>
      <c r="C27" s="42"/>
      <c r="D27" s="42"/>
      <c r="E27" s="42"/>
      <c r="F27" s="42"/>
      <c r="G27" s="42"/>
      <c r="H27" s="42"/>
      <c r="I27" s="42"/>
      <c r="J27" s="66" t="str">
        <f>REPT("█",5)</f>
        <v>█████</v>
      </c>
      <c r="K27" s="42"/>
      <c r="L27" s="42"/>
      <c r="M27" s="42"/>
    </row>
    <row r="28" spans="1:28" ht="13.95" customHeight="1" x14ac:dyDescent="0.3">
      <c r="A28" s="40" t="s">
        <v>408</v>
      </c>
      <c r="B28" s="31"/>
      <c r="C28" s="31"/>
      <c r="D28" s="31"/>
      <c r="E28" s="31"/>
      <c r="F28" s="31"/>
      <c r="G28" s="31"/>
      <c r="H28" s="31"/>
      <c r="I28" s="31"/>
      <c r="J28" s="66" t="str">
        <f>REPT("█",5)</f>
        <v>█████</v>
      </c>
      <c r="K28" s="31"/>
      <c r="L28" s="31"/>
      <c r="M28" s="31"/>
    </row>
    <row r="29" spans="1:28" ht="15" customHeight="1" x14ac:dyDescent="0.3">
      <c r="A29" s="62" t="s">
        <v>409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1:28" ht="13.95" customHeight="1" x14ac:dyDescent="0.3">
      <c r="A30" s="40" t="s">
        <v>410</v>
      </c>
      <c r="B30" s="31"/>
      <c r="C30" s="31"/>
      <c r="D30" s="31"/>
      <c r="E30" s="31"/>
      <c r="F30" s="31"/>
      <c r="G30" s="31"/>
      <c r="H30" s="31"/>
      <c r="I30" s="31"/>
      <c r="J30" s="67" t="str">
        <f>REPT("█",5)</f>
        <v>█████</v>
      </c>
      <c r="K30" s="67" t="str">
        <f>REPT("█",5)</f>
        <v>█████</v>
      </c>
      <c r="L30" s="31"/>
      <c r="M30" s="31"/>
    </row>
    <row r="31" spans="1:28" ht="13.95" customHeight="1" x14ac:dyDescent="0.3">
      <c r="A31" s="41" t="s">
        <v>411</v>
      </c>
      <c r="B31" s="42"/>
      <c r="C31" s="42"/>
      <c r="D31" s="42"/>
      <c r="E31" s="42"/>
      <c r="F31" s="42"/>
      <c r="G31" s="42"/>
      <c r="H31" s="42"/>
      <c r="I31" s="42"/>
      <c r="J31" s="42"/>
      <c r="K31" s="67" t="str">
        <f>REPT("█",5)</f>
        <v>█████</v>
      </c>
      <c r="L31" s="42"/>
      <c r="M31" s="42"/>
    </row>
    <row r="32" spans="1:28" ht="13.95" customHeight="1" x14ac:dyDescent="0.3">
      <c r="A32" s="40" t="s">
        <v>412</v>
      </c>
      <c r="B32" s="31"/>
      <c r="C32" s="31"/>
      <c r="D32" s="31"/>
      <c r="E32" s="31"/>
      <c r="F32" s="31"/>
      <c r="G32" s="31"/>
      <c r="H32" s="31"/>
      <c r="I32" s="31"/>
      <c r="J32" s="31"/>
      <c r="K32" s="67" t="str">
        <f>REPT("█",5)</f>
        <v>█████</v>
      </c>
      <c r="L32" s="31"/>
      <c r="M32" s="31"/>
    </row>
    <row r="33" spans="1:28" ht="13.95" customHeight="1" x14ac:dyDescent="0.3">
      <c r="A33" s="41" t="s">
        <v>413</v>
      </c>
      <c r="B33" s="42"/>
      <c r="C33" s="42"/>
      <c r="D33" s="42"/>
      <c r="E33" s="42"/>
      <c r="F33" s="42"/>
      <c r="G33" s="42"/>
      <c r="H33" s="42"/>
      <c r="I33" s="42"/>
      <c r="J33" s="42"/>
      <c r="K33" s="67" t="str">
        <f>REPT("█",5)</f>
        <v>█████</v>
      </c>
      <c r="L33" s="67" t="str">
        <f>REPT("█",5)</f>
        <v>█████</v>
      </c>
      <c r="M33" s="42"/>
    </row>
    <row r="34" spans="1:28" ht="13.95" customHeight="1" x14ac:dyDescent="0.3">
      <c r="A34" s="40" t="s">
        <v>414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67" t="str">
        <f>REPT("█",5)</f>
        <v>█████</v>
      </c>
      <c r="M34" s="31"/>
    </row>
    <row r="35" spans="1:28" ht="15" customHeight="1" x14ac:dyDescent="0.3">
      <c r="A35" s="59" t="s">
        <v>415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</row>
    <row r="36" spans="1:28" ht="13.95" customHeight="1" x14ac:dyDescent="0.3">
      <c r="A36" s="40" t="s">
        <v>416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68" t="str">
        <f>REPT("█",5)</f>
        <v>█████</v>
      </c>
      <c r="M36" s="68" t="str">
        <f>REPT("█",5)</f>
        <v>█████</v>
      </c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spans="1:28" ht="13.95" customHeight="1" x14ac:dyDescent="0.3">
      <c r="A37" s="41" t="s">
        <v>417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68" t="str">
        <f>REPT("█",5)</f>
        <v>█████</v>
      </c>
    </row>
    <row r="38" spans="1:28" ht="13.95" customHeight="1" x14ac:dyDescent="0.3">
      <c r="A38" s="40" t="s">
        <v>418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68" t="str">
        <f>REPT("█",5)</f>
        <v>█████</v>
      </c>
    </row>
    <row r="40" spans="1:28" ht="13.95" customHeight="1" x14ac:dyDescent="0.3">
      <c r="A40" s="60" t="s">
        <v>419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</row>
  </sheetData>
  <mergeCells count="8">
    <mergeCell ref="A1:M1"/>
    <mergeCell ref="A23:M23"/>
    <mergeCell ref="A17:M17"/>
    <mergeCell ref="A35:M35"/>
    <mergeCell ref="A40:M40"/>
    <mergeCell ref="A3:M3"/>
    <mergeCell ref="A29:M29"/>
    <mergeCell ref="A10:M1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Backlog</vt:lpstr>
      <vt:lpstr>Charges Complémentaires</vt:lpstr>
      <vt:lpstr>Macro-Planning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RANDRIANTIANA</cp:lastModifiedBy>
  <dcterms:created xsi:type="dcterms:W3CDTF">2026-05-03T07:24:01Z</dcterms:created>
  <dcterms:modified xsi:type="dcterms:W3CDTF">2026-05-03T08:10:13Z</dcterms:modified>
</cp:coreProperties>
</file>